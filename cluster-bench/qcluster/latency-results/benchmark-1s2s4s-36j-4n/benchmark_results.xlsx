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tamps" sheetId="1" r:id="rId1"/>
  </sheets>
  <calcPr calcId="124519" fullCalcOnLoad="1"/>
</workbook>
</file>

<file path=xl/sharedStrings.xml><?xml version="1.0" encoding="utf-8"?>
<sst xmlns="http://schemas.openxmlformats.org/spreadsheetml/2006/main" count="87" uniqueCount="52">
  <si>
    <t>Node</t>
  </si>
  <si>
    <t>Job</t>
  </si>
  <si>
    <t>gradescope start</t>
  </si>
  <si>
    <t>gradescope duration</t>
  </si>
  <si>
    <t>qcluster duration</t>
  </si>
  <si>
    <t>waiting t.b. scheduled duration</t>
  </si>
  <si>
    <t>pod duration</t>
  </si>
  <si>
    <t>pod success duration</t>
  </si>
  <si>
    <t>pod failure duration</t>
  </si>
  <si>
    <t>Status</t>
  </si>
  <si>
    <t>node waiting for availability</t>
  </si>
  <si>
    <t>krg-qcluster002</t>
  </si>
  <si>
    <t>krg-qcluster004</t>
  </si>
  <si>
    <t>krg-qcluster006</t>
  </si>
  <si>
    <t>krg-qcluster007</t>
  </si>
  <si>
    <t>1s_12</t>
  </si>
  <si>
    <t>2s_7</t>
  </si>
  <si>
    <t>1s_2</t>
  </si>
  <si>
    <t>1s_7</t>
  </si>
  <si>
    <t>1s_6</t>
  </si>
  <si>
    <t>4s_5</t>
  </si>
  <si>
    <t>2s_12</t>
  </si>
  <si>
    <t>4s_2</t>
  </si>
  <si>
    <t>2s_2</t>
  </si>
  <si>
    <t>4s_7</t>
  </si>
  <si>
    <t>1s_5</t>
  </si>
  <si>
    <t>1s_1</t>
  </si>
  <si>
    <t>4s_8</t>
  </si>
  <si>
    <t>2s_11</t>
  </si>
  <si>
    <t>1s_9</t>
  </si>
  <si>
    <t>2s_9</t>
  </si>
  <si>
    <t>4s_10</t>
  </si>
  <si>
    <t>4s_11</t>
  </si>
  <si>
    <t>2s_1</t>
  </si>
  <si>
    <t>1s_10</t>
  </si>
  <si>
    <t>4s_3</t>
  </si>
  <si>
    <t>4s_9</t>
  </si>
  <si>
    <t>4s_1</t>
  </si>
  <si>
    <t>4s_6</t>
  </si>
  <si>
    <t>4s_4</t>
  </si>
  <si>
    <t>2s_6</t>
  </si>
  <si>
    <t>4s_12</t>
  </si>
  <si>
    <t>1s_3</t>
  </si>
  <si>
    <t>2s_4</t>
  </si>
  <si>
    <t>2s_10</t>
  </si>
  <si>
    <t>1s_4</t>
  </si>
  <si>
    <t>2s_5</t>
  </si>
  <si>
    <t>2s_8</t>
  </si>
  <si>
    <t>1s_11</t>
  </si>
  <si>
    <t>2s_3</t>
  </si>
  <si>
    <t>1s_8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</si>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</sst>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aseline="0"/>
            </a:pPr>
            <a:r>
              <a:rPr lang="en-US" sz="2000" baseline="0"/>
              <a:t>36 jobs running across 4 nodes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Timestamps!$C$1</c:f>
              <c:strCache>
                <c:ptCount val="1"/>
                <c:pt idx="0">
                  <c:v>gradescope start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Timestamps!$A$2:$B$37</c:f>
            </c:numRef>
          </c:cat>
          <c:val>
            <c:numRef>
              <c:f>Timestamps!$C$2:$C$37</c:f>
              <c:numCache>
                <c:formatCode>General</c:formatCode>
                <c:ptCount val="36"/>
                <c:pt idx="0">
                  <c:v>17578182</c:v>
                </c:pt>
                <c:pt idx="1">
                  <c:v>7861013</c:v>
                </c:pt>
                <c:pt idx="2">
                  <c:v>2302530</c:v>
                </c:pt>
                <c:pt idx="3">
                  <c:v>5688312</c:v>
                </c:pt>
                <c:pt idx="4">
                  <c:v>11915169</c:v>
                </c:pt>
                <c:pt idx="5">
                  <c:v>8682724</c:v>
                </c:pt>
                <c:pt idx="6">
                  <c:v>18745335</c:v>
                </c:pt>
                <c:pt idx="7">
                  <c:v>5831350</c:v>
                </c:pt>
                <c:pt idx="8">
                  <c:v>6703393</c:v>
                </c:pt>
                <c:pt idx="9">
                  <c:v>10975038</c:v>
                </c:pt>
                <c:pt idx="10">
                  <c:v>1628147</c:v>
                </c:pt>
                <c:pt idx="11">
                  <c:v>3900477</c:v>
                </c:pt>
                <c:pt idx="12">
                  <c:v>15268318</c:v>
                </c:pt>
                <c:pt idx="13">
                  <c:v>22326302</c:v>
                </c:pt>
                <c:pt idx="14">
                  <c:v>18648206</c:v>
                </c:pt>
                <c:pt idx="15">
                  <c:v>18345105</c:v>
                </c:pt>
                <c:pt idx="16">
                  <c:v>22451817</c:v>
                </c:pt>
                <c:pt idx="17">
                  <c:v>22712472</c:v>
                </c:pt>
                <c:pt idx="18">
                  <c:v>0</c:v>
                </c:pt>
                <c:pt idx="19">
                  <c:v>15839098</c:v>
                </c:pt>
                <c:pt idx="20">
                  <c:v>1375421</c:v>
                </c:pt>
                <c:pt idx="21">
                  <c:v>19122306</c:v>
                </c:pt>
                <c:pt idx="22">
                  <c:v>4552049</c:v>
                </c:pt>
                <c:pt idx="23">
                  <c:v>10855128</c:v>
                </c:pt>
                <c:pt idx="24">
                  <c:v>6073562</c:v>
                </c:pt>
                <c:pt idx="25">
                  <c:v>8793180</c:v>
                </c:pt>
                <c:pt idx="26">
                  <c:v>18620823</c:v>
                </c:pt>
                <c:pt idx="27">
                  <c:v>2833360</c:v>
                </c:pt>
                <c:pt idx="28">
                  <c:v>4261052</c:v>
                </c:pt>
                <c:pt idx="29">
                  <c:v>16535177</c:v>
                </c:pt>
                <c:pt idx="30">
                  <c:v>3864165</c:v>
                </c:pt>
                <c:pt idx="31">
                  <c:v>8114402</c:v>
                </c:pt>
                <c:pt idx="32">
                  <c:v>19437734</c:v>
                </c:pt>
                <c:pt idx="33">
                  <c:v>17422008</c:v>
                </c:pt>
                <c:pt idx="34">
                  <c:v>1821013</c:v>
                </c:pt>
                <c:pt idx="35">
                  <c:v>17556621</c:v>
                </c:pt>
              </c:numCache>
            </c:numRef>
          </c:val>
        </c:ser>
        <c:ser>
          <c:idx val="1"/>
          <c:order val="1"/>
          <c:tx>
            <c:strRef>
              <c:f>Timestamps!$D$1</c:f>
              <c:strCache>
                <c:ptCount val="1"/>
                <c:pt idx="0">
                  <c:v>gradescope duration</c:v>
                </c:pt>
              </c:strCache>
            </c:strRef>
          </c:tx>
          <c:spPr>
            <a:solidFill>
              <a:srgbClr val="C0504D"/>
            </a:solidFill>
          </c:spPr>
          <c:cat>
            <c:numRef>
              <c:f>Timestamps!$A$2:$B$37</c:f>
            </c:numRef>
          </c:cat>
          <c:val>
            <c:numRef>
              <c:f>Timestamps!$D$2:$D$37</c:f>
              <c:numCache>
                <c:formatCode>General</c:formatCode>
                <c:ptCount val="36"/>
                <c:pt idx="0">
                  <c:v>153238120</c:v>
                </c:pt>
                <c:pt idx="1">
                  <c:v>156581867</c:v>
                </c:pt>
                <c:pt idx="2">
                  <c:v>176701355</c:v>
                </c:pt>
                <c:pt idx="3">
                  <c:v>155870937</c:v>
                </c:pt>
                <c:pt idx="4">
                  <c:v>172237732</c:v>
                </c:pt>
                <c:pt idx="5">
                  <c:v>140271868</c:v>
                </c:pt>
                <c:pt idx="6">
                  <c:v>152033091</c:v>
                </c:pt>
                <c:pt idx="7">
                  <c:v>169335453</c:v>
                </c:pt>
                <c:pt idx="8">
                  <c:v>142338894</c:v>
                </c:pt>
                <c:pt idx="9">
                  <c:v>159963873</c:v>
                </c:pt>
                <c:pt idx="10">
                  <c:v>131422417</c:v>
                </c:pt>
                <c:pt idx="11">
                  <c:v>129032451</c:v>
                </c:pt>
                <c:pt idx="12">
                  <c:v>156694938</c:v>
                </c:pt>
                <c:pt idx="13">
                  <c:v>147321463</c:v>
                </c:pt>
                <c:pt idx="14">
                  <c:v>157630296</c:v>
                </c:pt>
                <c:pt idx="15">
                  <c:v>146418302</c:v>
                </c:pt>
                <c:pt idx="16">
                  <c:v>148967337</c:v>
                </c:pt>
                <c:pt idx="17">
                  <c:v>139251502</c:v>
                </c:pt>
                <c:pt idx="18">
                  <c:v>120510161</c:v>
                </c:pt>
                <c:pt idx="19">
                  <c:v>138942589</c:v>
                </c:pt>
                <c:pt idx="20">
                  <c:v>162777635</c:v>
                </c:pt>
                <c:pt idx="21">
                  <c:v>137793007</c:v>
                </c:pt>
                <c:pt idx="22">
                  <c:v>144978741</c:v>
                </c:pt>
                <c:pt idx="23">
                  <c:v>173394446</c:v>
                </c:pt>
                <c:pt idx="24">
                  <c:v>160119807</c:v>
                </c:pt>
                <c:pt idx="25">
                  <c:v>175176494</c:v>
                </c:pt>
                <c:pt idx="26">
                  <c:v>165709251</c:v>
                </c:pt>
                <c:pt idx="27">
                  <c:v>127491838</c:v>
                </c:pt>
                <c:pt idx="28">
                  <c:v>131253928</c:v>
                </c:pt>
                <c:pt idx="29">
                  <c:v>155080738</c:v>
                </c:pt>
                <c:pt idx="30">
                  <c:v>151121612</c:v>
                </c:pt>
                <c:pt idx="31">
                  <c:v>156622085</c:v>
                </c:pt>
                <c:pt idx="32">
                  <c:v>142124035</c:v>
                </c:pt>
                <c:pt idx="33">
                  <c:v>120228249</c:v>
                </c:pt>
                <c:pt idx="34">
                  <c:v>147575210</c:v>
                </c:pt>
                <c:pt idx="35">
                  <c:v>142210224</c:v>
                </c:pt>
              </c:numCache>
            </c:numRef>
          </c:val>
        </c:ser>
        <c:ser>
          <c:idx val="2"/>
          <c:order val="2"/>
          <c:tx>
            <c:strRef>
              <c:f>Timestamps!$E$1</c:f>
              <c:strCache>
                <c:ptCount val="1"/>
                <c:pt idx="0">
                  <c:v>qcluster duration</c:v>
                </c:pt>
              </c:strCache>
            </c:strRef>
          </c:tx>
          <c:spPr>
            <a:solidFill>
              <a:srgbClr val="9BBB59"/>
            </a:solidFill>
          </c:spPr>
          <c:cat>
            <c:numRef>
              <c:f>Timestamps!$A$2:$B$37</c:f>
            </c:numRef>
          </c:cat>
          <c:val>
            <c:numRef>
              <c:f>Timestamps!$E$2:$E$37</c:f>
              <c:numCache>
                <c:formatCode>General</c:formatCode>
                <c:ptCount val="36"/>
                <c:pt idx="0">
                  <c:v>2421455030</c:v>
                </c:pt>
                <c:pt idx="1">
                  <c:v>6942038317</c:v>
                </c:pt>
                <c:pt idx="2">
                  <c:v>10505613172</c:v>
                </c:pt>
                <c:pt idx="3">
                  <c:v>12353368941</c:v>
                </c:pt>
                <c:pt idx="4">
                  <c:v>12730981281</c:v>
                </c:pt>
                <c:pt idx="5">
                  <c:v>9747421849</c:v>
                </c:pt>
                <c:pt idx="6">
                  <c:v>11345713258</c:v>
                </c:pt>
                <c:pt idx="7">
                  <c:v>3928891489</c:v>
                </c:pt>
                <c:pt idx="8">
                  <c:v>4937723264</c:v>
                </c:pt>
                <c:pt idx="9">
                  <c:v>11736760068</c:v>
                </c:pt>
                <c:pt idx="10">
                  <c:v>2470582218</c:v>
                </c:pt>
                <c:pt idx="11">
                  <c:v>2539651378</c:v>
                </c:pt>
                <c:pt idx="12">
                  <c:v>8342058905</c:v>
                </c:pt>
                <c:pt idx="13">
                  <c:v>12534816648</c:v>
                </c:pt>
                <c:pt idx="14">
                  <c:v>2533849158</c:v>
                </c:pt>
                <c:pt idx="15">
                  <c:v>2675114036</c:v>
                </c:pt>
                <c:pt idx="16">
                  <c:v>4532531327</c:v>
                </c:pt>
                <c:pt idx="17">
                  <c:v>5934130464</c:v>
                </c:pt>
                <c:pt idx="18">
                  <c:v>2029156393</c:v>
                </c:pt>
                <c:pt idx="19">
                  <c:v>10142021669</c:v>
                </c:pt>
                <c:pt idx="20">
                  <c:v>7336384776</c:v>
                </c:pt>
                <c:pt idx="21">
                  <c:v>8945272927</c:v>
                </c:pt>
                <c:pt idx="22">
                  <c:v>2576401029</c:v>
                </c:pt>
                <c:pt idx="23">
                  <c:v>2646118469</c:v>
                </c:pt>
                <c:pt idx="24">
                  <c:v>3729354749</c:v>
                </c:pt>
                <c:pt idx="25">
                  <c:v>5314208001</c:v>
                </c:pt>
                <c:pt idx="26">
                  <c:v>6317478631</c:v>
                </c:pt>
                <c:pt idx="27">
                  <c:v>2138014989</c:v>
                </c:pt>
                <c:pt idx="28">
                  <c:v>9555737478</c:v>
                </c:pt>
                <c:pt idx="29">
                  <c:v>7930557991</c:v>
                </c:pt>
                <c:pt idx="30">
                  <c:v>5751426358</c:v>
                </c:pt>
                <c:pt idx="31">
                  <c:v>13125809791</c:v>
                </c:pt>
                <c:pt idx="32">
                  <c:v>10962145194</c:v>
                </c:pt>
                <c:pt idx="33">
                  <c:v>3362421091</c:v>
                </c:pt>
                <c:pt idx="34">
                  <c:v>3142032718</c:v>
                </c:pt>
                <c:pt idx="35">
                  <c:v>4733204512</c:v>
                </c:pt>
              </c:numCache>
            </c:numRef>
          </c:val>
        </c:ser>
        <c:ser>
          <c:idx val="3"/>
          <c:order val="3"/>
          <c:tx>
            <c:strRef>
              <c:f>Timestamps!$F$1</c:f>
              <c:strCache>
                <c:ptCount val="1"/>
                <c:pt idx="0">
                  <c:v>waiting t.b. scheduled duration</c:v>
                </c:pt>
              </c:strCache>
            </c:strRef>
          </c:tx>
          <c:spPr>
            <a:solidFill>
              <a:srgbClr val="8064A2"/>
            </a:solidFill>
          </c:spPr>
          <c:cat>
            <c:numRef>
              <c:f>Timestamps!$A$2:$B$37</c:f>
            </c:numRef>
          </c:cat>
          <c:val>
            <c:numRef>
              <c:f>Timestamps!$F$2:$F$37</c:f>
              <c:numCache>
                <c:formatCode>General</c:formatCode>
                <c:ptCount val="36"/>
                <c:pt idx="0">
                  <c:v>1527658045</c:v>
                </c:pt>
                <c:pt idx="1">
                  <c:v>2013448180</c:v>
                </c:pt>
                <c:pt idx="2">
                  <c:v>6435312320</c:v>
                </c:pt>
                <c:pt idx="3">
                  <c:v>10605001187</c:v>
                </c:pt>
                <c:pt idx="4">
                  <c:v>19204795195</c:v>
                </c:pt>
                <c:pt idx="5">
                  <c:v>27223552936</c:v>
                </c:pt>
                <c:pt idx="6">
                  <c:v>37603437693</c:v>
                </c:pt>
                <c:pt idx="7">
                  <c:v>51015871085</c:v>
                </c:pt>
                <c:pt idx="8">
                  <c:v>61033163826</c:v>
                </c:pt>
                <c:pt idx="9">
                  <c:v>68212230398</c:v>
                </c:pt>
                <c:pt idx="10">
                  <c:v>1516296595</c:v>
                </c:pt>
                <c:pt idx="11">
                  <c:v>6447345071</c:v>
                </c:pt>
                <c:pt idx="12">
                  <c:v>5605907216</c:v>
                </c:pt>
                <c:pt idx="13">
                  <c:v>11415464964</c:v>
                </c:pt>
                <c:pt idx="14">
                  <c:v>31409801717</c:v>
                </c:pt>
                <c:pt idx="15">
                  <c:v>41280051934</c:v>
                </c:pt>
                <c:pt idx="16">
                  <c:v>51415978896</c:v>
                </c:pt>
                <c:pt idx="17">
                  <c:v>59023834939</c:v>
                </c:pt>
                <c:pt idx="18">
                  <c:v>1970262823</c:v>
                </c:pt>
                <c:pt idx="19">
                  <c:v>1823126021</c:v>
                </c:pt>
                <c:pt idx="20">
                  <c:v>10619391545</c:v>
                </c:pt>
                <c:pt idx="21">
                  <c:v>17017741137</c:v>
                </c:pt>
                <c:pt idx="22">
                  <c:v>31393997558</c:v>
                </c:pt>
                <c:pt idx="23">
                  <c:v>42289561334</c:v>
                </c:pt>
                <c:pt idx="24">
                  <c:v>51224381259</c:v>
                </c:pt>
                <c:pt idx="25">
                  <c:v>60621751702</c:v>
                </c:pt>
                <c:pt idx="26">
                  <c:v>69618120672</c:v>
                </c:pt>
                <c:pt idx="27">
                  <c:v>1851589190</c:v>
                </c:pt>
                <c:pt idx="28">
                  <c:v>1428676919</c:v>
                </c:pt>
                <c:pt idx="29">
                  <c:v>10017755471</c:v>
                </c:pt>
                <c:pt idx="30">
                  <c:v>19213517242</c:v>
                </c:pt>
                <c:pt idx="31">
                  <c:v>18829383099</c:v>
                </c:pt>
                <c:pt idx="32">
                  <c:v>27996222414</c:v>
                </c:pt>
                <c:pt idx="33">
                  <c:v>42619858029</c:v>
                </c:pt>
                <c:pt idx="34">
                  <c:v>50828500436</c:v>
                </c:pt>
                <c:pt idx="35">
                  <c:v>60226958020</c:v>
                </c:pt>
              </c:numCache>
            </c:numRef>
          </c:val>
        </c:ser>
        <c:ser>
          <c:idx val="4"/>
          <c:order val="4"/>
          <c:tx>
            <c:strRef>
              <c:f>Timestamps!$H$1</c:f>
              <c:strCache>
                <c:ptCount val="1"/>
                <c:pt idx="0">
                  <c:v>pod success duration</c:v>
                </c:pt>
              </c:strCache>
            </c:strRef>
          </c:tx>
          <c:spPr>
            <a:solidFill>
              <a:srgbClr val="4BACC6"/>
            </a:solidFill>
          </c:spPr>
          <c:cat>
            <c:numRef>
              <c:f>Timestamps!$A$2:$B$37</c:f>
            </c:numRef>
          </c:cat>
          <c:val>
            <c:numRef>
              <c:f>Timestamps!$H$2:$H$37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5"/>
          <c:order val="5"/>
          <c:tx>
            <c:strRef>
              <c:f>Timestamps!$I$1</c:f>
              <c:strCache>
                <c:ptCount val="1"/>
                <c:pt idx="0">
                  <c:v>pod failure duration</c:v>
                </c:pt>
              </c:strCache>
            </c:strRef>
          </c:tx>
          <c:spPr>
            <a:solidFill>
              <a:srgbClr val="F79646"/>
            </a:solidFill>
          </c:spPr>
          <c:cat>
            <c:numRef>
              <c:f>Timestamps!$A$2:$B$37</c:f>
            </c:numRef>
          </c:cat>
          <c:val>
            <c:numRef>
              <c:f>Timestamps!$I$2:$I$37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Timestamps!$K$1</c:f>
              <c:strCache>
                <c:ptCount val="1"/>
                <c:pt idx="0">
                  <c:v>node waiting for availability</c:v>
                </c:pt>
              </c:strCache>
            </c:strRef>
          </c:tx>
          <c:spPr>
            <a:solidFill>
              <a:srgbClr val="1F497D"/>
            </a:solidFill>
          </c:spPr>
          <c:cat>
            <c:numRef>
              <c:f>Timestamps!$A$2:$B$37</c:f>
            </c:numRef>
          </c:cat>
          <c:val>
            <c:numRef>
              <c:f>Timestamps!$K$2:$K$37</c:f>
              <c:numCache>
                <c:formatCode>General</c:formatCode>
                <c:ptCount val="36"/>
                <c:pt idx="0">
                  <c:v>2283548336.75</c:v>
                </c:pt>
                <c:pt idx="1">
                  <c:v>3283548336.75</c:v>
                </c:pt>
                <c:pt idx="2">
                  <c:v>3283548336.75</c:v>
                </c:pt>
                <c:pt idx="3">
                  <c:v>5283548336.75</c:v>
                </c:pt>
                <c:pt idx="4">
                  <c:v>2283548336.75</c:v>
                </c:pt>
                <c:pt idx="5">
                  <c:v>5283548336.75</c:v>
                </c:pt>
                <c:pt idx="6">
                  <c:v>2283548336.75</c:v>
                </c:pt>
                <c:pt idx="7">
                  <c:v>4283548336.75</c:v>
                </c:pt>
                <c:pt idx="8">
                  <c:v>10283548336.75</c:v>
                </c:pt>
                <c:pt idx="9">
                  <c:v>4283548336.75</c:v>
                </c:pt>
                <c:pt idx="10">
                  <c:v>2283548336.75</c:v>
                </c:pt>
                <c:pt idx="11">
                  <c:v>1283548336.75</c:v>
                </c:pt>
                <c:pt idx="12">
                  <c:v>3283548336.75</c:v>
                </c:pt>
                <c:pt idx="13">
                  <c:v>6283548336.75</c:v>
                </c:pt>
                <c:pt idx="14">
                  <c:v>6283548336.75</c:v>
                </c:pt>
                <c:pt idx="15">
                  <c:v>7283548336.75</c:v>
                </c:pt>
                <c:pt idx="16">
                  <c:v>3283548336.75</c:v>
                </c:pt>
                <c:pt idx="17">
                  <c:v>4283548336.75</c:v>
                </c:pt>
                <c:pt idx="18">
                  <c:v>3283548336.75</c:v>
                </c:pt>
                <c:pt idx="19">
                  <c:v>3283548336.75</c:v>
                </c:pt>
                <c:pt idx="20">
                  <c:v>1283548336.75</c:v>
                </c:pt>
                <c:pt idx="21">
                  <c:v>1283548336.75</c:v>
                </c:pt>
                <c:pt idx="22">
                  <c:v>4283548336.75</c:v>
                </c:pt>
                <c:pt idx="23">
                  <c:v>4283548336.75</c:v>
                </c:pt>
                <c:pt idx="24">
                  <c:v>4283548336.75</c:v>
                </c:pt>
                <c:pt idx="25">
                  <c:v>6283548336.75</c:v>
                </c:pt>
                <c:pt idx="26">
                  <c:v>3533548336.75</c:v>
                </c:pt>
                <c:pt idx="27">
                  <c:v>3283548336.75</c:v>
                </c:pt>
                <c:pt idx="28">
                  <c:v>2283548336.75</c:v>
                </c:pt>
                <c:pt idx="29">
                  <c:v>2283548336.75</c:v>
                </c:pt>
                <c:pt idx="30">
                  <c:v>3283548336.75</c:v>
                </c:pt>
                <c:pt idx="31">
                  <c:v>3283548336.75</c:v>
                </c:pt>
                <c:pt idx="32">
                  <c:v>3283548336.75</c:v>
                </c:pt>
                <c:pt idx="33">
                  <c:v>5283548336.75</c:v>
                </c:pt>
                <c:pt idx="34">
                  <c:v>6283548336.75</c:v>
                </c:pt>
                <c:pt idx="35">
                  <c:v>3658548336.75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Node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(nanoseconds)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16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37</xdr:col>
      <xdr:colOff>0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17578182</v>
      </c>
      <c r="D2">
        <v>153238120</v>
      </c>
      <c r="E2">
        <v>2421455030</v>
      </c>
      <c r="F2">
        <v>1527658045</v>
      </c>
      <c r="G2">
        <v>1000000000</v>
      </c>
      <c r="H2">
        <f>IF(J2="Success", G2, NA())</f>
        <v>0</v>
      </c>
      <c r="I2">
        <f>IF(J2="Failure", G2, NA())</f>
        <v>0</v>
      </c>
      <c r="J2" t="s">
        <v>51</v>
      </c>
      <c r="K2">
        <v>2283548336.75</v>
      </c>
    </row>
    <row r="3" spans="1:11">
      <c r="B3" t="s">
        <v>16</v>
      </c>
      <c r="C3">
        <v>7861013</v>
      </c>
      <c r="D3">
        <v>156581867</v>
      </c>
      <c r="E3">
        <v>6942038317</v>
      </c>
      <c r="F3">
        <v>2013448180</v>
      </c>
      <c r="G3">
        <v>3000000000</v>
      </c>
      <c r="H3">
        <f>IF(J3="Success", G3, NA())</f>
        <v>0</v>
      </c>
      <c r="I3">
        <f>IF(J3="Failure", G3, NA())</f>
        <v>0</v>
      </c>
      <c r="J3" t="s">
        <v>51</v>
      </c>
      <c r="K3">
        <v>3283548336.75</v>
      </c>
    </row>
    <row r="4" spans="1:11">
      <c r="B4" t="s">
        <v>17</v>
      </c>
      <c r="C4">
        <v>2302530</v>
      </c>
      <c r="D4">
        <v>176701355</v>
      </c>
      <c r="E4">
        <v>10505613172</v>
      </c>
      <c r="F4">
        <v>6435312320</v>
      </c>
      <c r="G4">
        <v>1000000000</v>
      </c>
      <c r="H4">
        <f>IF(J4="Success", G4, NA())</f>
        <v>0</v>
      </c>
      <c r="I4">
        <f>IF(J4="Failure", G4, NA())</f>
        <v>0</v>
      </c>
      <c r="J4" t="s">
        <v>51</v>
      </c>
      <c r="K4">
        <v>3283548336.75</v>
      </c>
    </row>
    <row r="5" spans="1:11">
      <c r="B5" t="s">
        <v>18</v>
      </c>
      <c r="C5">
        <v>5688312</v>
      </c>
      <c r="D5">
        <v>155870937</v>
      </c>
      <c r="E5">
        <v>12353368941</v>
      </c>
      <c r="F5">
        <v>10605001187</v>
      </c>
      <c r="G5">
        <v>2000000000</v>
      </c>
      <c r="H5">
        <f>IF(J5="Success", G5, NA())</f>
        <v>0</v>
      </c>
      <c r="I5">
        <f>IF(J5="Failure", G5, NA())</f>
        <v>0</v>
      </c>
      <c r="J5" t="s">
        <v>51</v>
      </c>
      <c r="K5">
        <v>5283548336.75</v>
      </c>
    </row>
    <row r="6" spans="1:11">
      <c r="B6" t="s">
        <v>19</v>
      </c>
      <c r="C6">
        <v>11915169</v>
      </c>
      <c r="D6">
        <v>172237732</v>
      </c>
      <c r="E6">
        <v>12730981281</v>
      </c>
      <c r="F6">
        <v>19204795195</v>
      </c>
      <c r="G6">
        <v>1000000000</v>
      </c>
      <c r="H6">
        <f>IF(J6="Success", G6, NA())</f>
        <v>0</v>
      </c>
      <c r="I6">
        <f>IF(J6="Failure", G6, NA())</f>
        <v>0</v>
      </c>
      <c r="J6" t="s">
        <v>51</v>
      </c>
      <c r="K6">
        <v>2283548336.75</v>
      </c>
    </row>
    <row r="7" spans="1:11">
      <c r="B7" t="s">
        <v>20</v>
      </c>
      <c r="C7">
        <v>8682724</v>
      </c>
      <c r="D7">
        <v>140271868</v>
      </c>
      <c r="E7">
        <v>9747421849</v>
      </c>
      <c r="F7">
        <v>27223552936</v>
      </c>
      <c r="G7">
        <v>5000000000</v>
      </c>
      <c r="H7">
        <f>IF(J7="Success", G7, NA())</f>
        <v>0</v>
      </c>
      <c r="I7">
        <f>IF(J7="Failure", G7, NA())</f>
        <v>0</v>
      </c>
      <c r="J7" t="s">
        <v>51</v>
      </c>
      <c r="K7">
        <v>5283548336.75</v>
      </c>
    </row>
    <row r="8" spans="1:11">
      <c r="B8" t="s">
        <v>21</v>
      </c>
      <c r="C8">
        <v>18745335</v>
      </c>
      <c r="D8">
        <v>152033091</v>
      </c>
      <c r="E8">
        <v>11345713258</v>
      </c>
      <c r="F8">
        <v>37603437693</v>
      </c>
      <c r="G8">
        <v>2000000000</v>
      </c>
      <c r="H8">
        <f>IF(J8="Success", G8, NA())</f>
        <v>0</v>
      </c>
      <c r="I8">
        <f>IF(J8="Failure", G8, NA())</f>
        <v>0</v>
      </c>
      <c r="J8" t="s">
        <v>51</v>
      </c>
      <c r="K8">
        <v>2283548336.75</v>
      </c>
    </row>
    <row r="9" spans="1:11">
      <c r="B9" t="s">
        <v>22</v>
      </c>
      <c r="C9">
        <v>5831350</v>
      </c>
      <c r="D9">
        <v>169335453</v>
      </c>
      <c r="E9">
        <v>3928891489</v>
      </c>
      <c r="F9">
        <v>51015871085</v>
      </c>
      <c r="G9">
        <v>5000000000</v>
      </c>
      <c r="H9">
        <f>IF(J9="Success", G9, NA())</f>
        <v>0</v>
      </c>
      <c r="I9">
        <f>IF(J9="Failure", G9, NA())</f>
        <v>0</v>
      </c>
      <c r="J9" t="s">
        <v>51</v>
      </c>
      <c r="K9">
        <v>4283548336.75</v>
      </c>
    </row>
    <row r="10" spans="1:11">
      <c r="B10" t="s">
        <v>23</v>
      </c>
      <c r="C10">
        <v>6703393</v>
      </c>
      <c r="D10">
        <v>142338894</v>
      </c>
      <c r="E10">
        <v>4937723264</v>
      </c>
      <c r="F10">
        <v>61033163826</v>
      </c>
      <c r="G10">
        <v>2000000000</v>
      </c>
      <c r="H10">
        <f>IF(J10="Success", G10, NA())</f>
        <v>0</v>
      </c>
      <c r="I10">
        <f>IF(J10="Failure", G10, NA())</f>
        <v>0</v>
      </c>
      <c r="J10" t="s">
        <v>51</v>
      </c>
      <c r="K10">
        <v>10283548336.75</v>
      </c>
    </row>
    <row r="11" spans="1:11">
      <c r="B11" t="s">
        <v>24</v>
      </c>
      <c r="C11">
        <v>10975038</v>
      </c>
      <c r="D11">
        <v>159963873</v>
      </c>
      <c r="E11">
        <v>11736760068</v>
      </c>
      <c r="F11">
        <v>68212230398</v>
      </c>
      <c r="G11">
        <v>4000000000</v>
      </c>
      <c r="H11">
        <f>IF(J11="Success", G11, NA())</f>
        <v>0</v>
      </c>
      <c r="I11">
        <f>IF(J11="Failure", G11, NA())</f>
        <v>0</v>
      </c>
      <c r="J11" t="s">
        <v>51</v>
      </c>
      <c r="K11">
        <v>4283548336.75</v>
      </c>
    </row>
    <row r="12" spans="1:11">
      <c r="A12" t="s">
        <v>12</v>
      </c>
      <c r="B12" t="s">
        <v>25</v>
      </c>
      <c r="C12">
        <v>1628147</v>
      </c>
      <c r="D12">
        <v>131422417</v>
      </c>
      <c r="E12">
        <v>2470582218</v>
      </c>
      <c r="F12">
        <v>1516296595</v>
      </c>
      <c r="G12">
        <v>1000000000</v>
      </c>
      <c r="H12">
        <f>IF(J12="Success", G12, NA())</f>
        <v>0</v>
      </c>
      <c r="I12">
        <f>IF(J12="Failure", G12, NA())</f>
        <v>0</v>
      </c>
      <c r="J12" t="s">
        <v>51</v>
      </c>
      <c r="K12">
        <v>2283548336.75</v>
      </c>
    </row>
    <row r="13" spans="1:11">
      <c r="B13" t="s">
        <v>26</v>
      </c>
      <c r="C13">
        <v>3900477</v>
      </c>
      <c r="D13">
        <v>129032451</v>
      </c>
      <c r="E13">
        <v>2539651378</v>
      </c>
      <c r="F13">
        <v>6447345071</v>
      </c>
      <c r="G13">
        <v>2000000000</v>
      </c>
      <c r="H13">
        <f>IF(J13="Success", G13, NA())</f>
        <v>0</v>
      </c>
      <c r="I13">
        <f>IF(J13="Failure", G13, NA())</f>
        <v>0</v>
      </c>
      <c r="J13" t="s">
        <v>51</v>
      </c>
      <c r="K13">
        <v>1283548336.75</v>
      </c>
    </row>
    <row r="14" spans="1:11">
      <c r="B14" t="s">
        <v>27</v>
      </c>
      <c r="C14">
        <v>15268318</v>
      </c>
      <c r="D14">
        <v>156694938</v>
      </c>
      <c r="E14">
        <v>8342058905</v>
      </c>
      <c r="F14">
        <v>5605907216</v>
      </c>
      <c r="G14">
        <v>5000000000</v>
      </c>
      <c r="H14">
        <f>IF(J14="Success", G14, NA())</f>
        <v>0</v>
      </c>
      <c r="I14">
        <f>IF(J14="Failure", G14, NA())</f>
        <v>0</v>
      </c>
      <c r="J14" t="s">
        <v>51</v>
      </c>
      <c r="K14">
        <v>3283548336.75</v>
      </c>
    </row>
    <row r="15" spans="1:11">
      <c r="B15" t="s">
        <v>28</v>
      </c>
      <c r="C15">
        <v>22326302</v>
      </c>
      <c r="D15">
        <v>147321463</v>
      </c>
      <c r="E15">
        <v>12534816648</v>
      </c>
      <c r="F15">
        <v>11415464964</v>
      </c>
      <c r="G15">
        <v>2000000000</v>
      </c>
      <c r="H15">
        <f>IF(J15="Success", G15, NA())</f>
        <v>0</v>
      </c>
      <c r="I15">
        <f>IF(J15="Failure", G15, NA())</f>
        <v>0</v>
      </c>
      <c r="J15" t="s">
        <v>51</v>
      </c>
      <c r="K15">
        <v>6283548336.75</v>
      </c>
    </row>
    <row r="16" spans="1:11">
      <c r="B16" t="s">
        <v>29</v>
      </c>
      <c r="C16">
        <v>18648206</v>
      </c>
      <c r="D16">
        <v>157630296</v>
      </c>
      <c r="E16">
        <v>2533849158</v>
      </c>
      <c r="F16">
        <v>31409801717</v>
      </c>
      <c r="G16">
        <v>2000000000</v>
      </c>
      <c r="H16">
        <f>IF(J16="Success", G16, NA())</f>
        <v>0</v>
      </c>
      <c r="I16">
        <f>IF(J16="Failure", G16, NA())</f>
        <v>0</v>
      </c>
      <c r="J16" t="s">
        <v>51</v>
      </c>
      <c r="K16">
        <v>6283548336.75</v>
      </c>
    </row>
    <row r="17" spans="1:11">
      <c r="B17" t="s">
        <v>30</v>
      </c>
      <c r="C17">
        <v>18345105</v>
      </c>
      <c r="D17">
        <v>146418302</v>
      </c>
      <c r="E17">
        <v>2675114036</v>
      </c>
      <c r="F17">
        <v>41280051934</v>
      </c>
      <c r="G17">
        <v>3000000000</v>
      </c>
      <c r="H17">
        <f>IF(J17="Success", G17, NA())</f>
        <v>0</v>
      </c>
      <c r="I17">
        <f>IF(J17="Failure", G17, NA())</f>
        <v>0</v>
      </c>
      <c r="J17" t="s">
        <v>51</v>
      </c>
      <c r="K17">
        <v>7283548336.75</v>
      </c>
    </row>
    <row r="18" spans="1:11">
      <c r="B18" t="s">
        <v>31</v>
      </c>
      <c r="C18">
        <v>22451817</v>
      </c>
      <c r="D18">
        <v>148967337</v>
      </c>
      <c r="E18">
        <v>4532531327</v>
      </c>
      <c r="F18">
        <v>51415978896</v>
      </c>
      <c r="G18">
        <v>4000000000</v>
      </c>
      <c r="H18">
        <f>IF(J18="Success", G18, NA())</f>
        <v>0</v>
      </c>
      <c r="I18">
        <f>IF(J18="Failure", G18, NA())</f>
        <v>0</v>
      </c>
      <c r="J18" t="s">
        <v>51</v>
      </c>
      <c r="K18">
        <v>3283548336.75</v>
      </c>
    </row>
    <row r="19" spans="1:11">
      <c r="B19" t="s">
        <v>32</v>
      </c>
      <c r="C19">
        <v>22712472</v>
      </c>
      <c r="D19">
        <v>139251502</v>
      </c>
      <c r="E19">
        <v>5934130464</v>
      </c>
      <c r="F19">
        <v>59023834939</v>
      </c>
      <c r="G19">
        <v>5000000000</v>
      </c>
      <c r="H19">
        <f>IF(J19="Success", G19, NA())</f>
        <v>0</v>
      </c>
      <c r="I19">
        <f>IF(J19="Failure", G19, NA())</f>
        <v>0</v>
      </c>
      <c r="J19" t="s">
        <v>51</v>
      </c>
      <c r="K19">
        <v>4283548336.75</v>
      </c>
    </row>
    <row r="20" spans="1:11">
      <c r="A20" t="s">
        <v>13</v>
      </c>
      <c r="B20" t="s">
        <v>33</v>
      </c>
      <c r="C20">
        <v>0</v>
      </c>
      <c r="D20">
        <v>120510161</v>
      </c>
      <c r="E20">
        <v>2029156393</v>
      </c>
      <c r="F20">
        <v>1970262823</v>
      </c>
      <c r="G20">
        <v>3000000000</v>
      </c>
      <c r="H20">
        <f>IF(J20="Success", G20, NA())</f>
        <v>0</v>
      </c>
      <c r="I20">
        <f>IF(J20="Failure", G20, NA())</f>
        <v>0</v>
      </c>
      <c r="J20" t="s">
        <v>51</v>
      </c>
      <c r="K20">
        <v>3283548336.75</v>
      </c>
    </row>
    <row r="21" spans="1:11">
      <c r="B21" t="s">
        <v>34</v>
      </c>
      <c r="C21">
        <v>15839098</v>
      </c>
      <c r="D21">
        <v>138942589</v>
      </c>
      <c r="E21">
        <v>10142021669</v>
      </c>
      <c r="F21">
        <v>1823126021</v>
      </c>
      <c r="G21">
        <v>1000000000</v>
      </c>
      <c r="H21">
        <f>IF(J21="Success", G21, NA())</f>
        <v>0</v>
      </c>
      <c r="I21">
        <f>IF(J21="Failure", G21, NA())</f>
        <v>0</v>
      </c>
      <c r="J21" t="s">
        <v>51</v>
      </c>
      <c r="K21">
        <v>3283548336.75</v>
      </c>
    </row>
    <row r="22" spans="1:11">
      <c r="B22" t="s">
        <v>35</v>
      </c>
      <c r="C22">
        <v>1375421</v>
      </c>
      <c r="D22">
        <v>162777635</v>
      </c>
      <c r="E22">
        <v>7336384776</v>
      </c>
      <c r="F22">
        <v>10619391545</v>
      </c>
      <c r="G22">
        <v>5000000000</v>
      </c>
      <c r="H22">
        <f>IF(J22="Success", G22, NA())</f>
        <v>0</v>
      </c>
      <c r="I22">
        <f>IF(J22="Failure", G22, NA())</f>
        <v>0</v>
      </c>
      <c r="J22" t="s">
        <v>51</v>
      </c>
      <c r="K22">
        <v>1283548336.75</v>
      </c>
    </row>
    <row r="23" spans="1:11">
      <c r="B23" t="s">
        <v>36</v>
      </c>
      <c r="C23">
        <v>19122306</v>
      </c>
      <c r="D23">
        <v>137793007</v>
      </c>
      <c r="E23">
        <v>8945272927</v>
      </c>
      <c r="F23">
        <v>17017741137</v>
      </c>
      <c r="G23">
        <v>5000000000</v>
      </c>
      <c r="H23">
        <f>IF(J23="Success", G23, NA())</f>
        <v>0</v>
      </c>
      <c r="I23">
        <f>IF(J23="Failure", G23, NA())</f>
        <v>0</v>
      </c>
      <c r="J23" t="s">
        <v>51</v>
      </c>
      <c r="K23">
        <v>1283548336.75</v>
      </c>
    </row>
    <row r="24" spans="1:11">
      <c r="B24" t="s">
        <v>37</v>
      </c>
      <c r="C24">
        <v>4552049</v>
      </c>
      <c r="D24">
        <v>144978741</v>
      </c>
      <c r="E24">
        <v>2576401029</v>
      </c>
      <c r="F24">
        <v>31393997558</v>
      </c>
      <c r="G24">
        <v>5000000000</v>
      </c>
      <c r="H24">
        <f>IF(J24="Success", G24, NA())</f>
        <v>0</v>
      </c>
      <c r="I24">
        <f>IF(J24="Failure", G24, NA())</f>
        <v>0</v>
      </c>
      <c r="J24" t="s">
        <v>51</v>
      </c>
      <c r="K24">
        <v>4283548336.75</v>
      </c>
    </row>
    <row r="25" spans="1:11">
      <c r="B25" t="s">
        <v>38</v>
      </c>
      <c r="C25">
        <v>10855128</v>
      </c>
      <c r="D25">
        <v>173394446</v>
      </c>
      <c r="E25">
        <v>2646118469</v>
      </c>
      <c r="F25">
        <v>42289561334</v>
      </c>
      <c r="G25">
        <v>4000000000</v>
      </c>
      <c r="H25">
        <f>IF(J25="Success", G25, NA())</f>
        <v>0</v>
      </c>
      <c r="I25">
        <f>IF(J25="Failure", G25, NA())</f>
        <v>0</v>
      </c>
      <c r="J25" t="s">
        <v>51</v>
      </c>
      <c r="K25">
        <v>4283548336.75</v>
      </c>
    </row>
    <row r="26" spans="1:11">
      <c r="B26" t="s">
        <v>39</v>
      </c>
      <c r="C26">
        <v>6073562</v>
      </c>
      <c r="D26">
        <v>160119807</v>
      </c>
      <c r="E26">
        <v>3729354749</v>
      </c>
      <c r="F26">
        <v>51224381259</v>
      </c>
      <c r="G26">
        <v>5000000000</v>
      </c>
      <c r="H26">
        <f>IF(J26="Success", G26, NA())</f>
        <v>0</v>
      </c>
      <c r="I26">
        <f>IF(J26="Failure", G26, NA())</f>
        <v>0</v>
      </c>
      <c r="J26" t="s">
        <v>51</v>
      </c>
      <c r="K26">
        <v>4283548336.75</v>
      </c>
    </row>
    <row r="27" spans="1:11">
      <c r="B27" t="s">
        <v>40</v>
      </c>
      <c r="C27">
        <v>8793180</v>
      </c>
      <c r="D27">
        <v>175176494</v>
      </c>
      <c r="E27">
        <v>5314208001</v>
      </c>
      <c r="F27">
        <v>60621751702</v>
      </c>
      <c r="G27">
        <v>2000000000</v>
      </c>
      <c r="H27">
        <f>IF(J27="Success", G27, NA())</f>
        <v>0</v>
      </c>
      <c r="I27">
        <f>IF(J27="Failure", G27, NA())</f>
        <v>0</v>
      </c>
      <c r="J27" t="s">
        <v>51</v>
      </c>
      <c r="K27">
        <v>6283548336.75</v>
      </c>
    </row>
    <row r="28" spans="1:11">
      <c r="B28" t="s">
        <v>41</v>
      </c>
      <c r="C28">
        <v>18620823</v>
      </c>
      <c r="D28">
        <v>165709251</v>
      </c>
      <c r="E28">
        <v>6317478631</v>
      </c>
      <c r="F28">
        <v>69618120672</v>
      </c>
      <c r="G28">
        <v>5000000000</v>
      </c>
      <c r="H28">
        <f>IF(J28="Success", G28, NA())</f>
        <v>0</v>
      </c>
      <c r="I28">
        <f>IF(J28="Failure", G28, NA())</f>
        <v>0</v>
      </c>
      <c r="J28" t="s">
        <v>51</v>
      </c>
      <c r="K28">
        <v>3533548336.75</v>
      </c>
    </row>
    <row r="29" spans="1:11">
      <c r="A29" t="s">
        <v>14</v>
      </c>
      <c r="B29" t="s">
        <v>42</v>
      </c>
      <c r="C29">
        <v>2833360</v>
      </c>
      <c r="D29">
        <v>127491838</v>
      </c>
      <c r="E29">
        <v>2138014989</v>
      </c>
      <c r="F29">
        <v>1851589190</v>
      </c>
      <c r="G29">
        <v>2000000000</v>
      </c>
      <c r="H29">
        <f>IF(J29="Success", G29, NA())</f>
        <v>0</v>
      </c>
      <c r="I29">
        <f>IF(J29="Failure", G29, NA())</f>
        <v>0</v>
      </c>
      <c r="J29" t="s">
        <v>51</v>
      </c>
      <c r="K29">
        <v>3283548336.75</v>
      </c>
    </row>
    <row r="30" spans="1:11">
      <c r="B30" t="s">
        <v>43</v>
      </c>
      <c r="C30">
        <v>4261052</v>
      </c>
      <c r="D30">
        <v>131253928</v>
      </c>
      <c r="E30">
        <v>9555737478</v>
      </c>
      <c r="F30">
        <v>1428676919</v>
      </c>
      <c r="G30">
        <v>3000000000</v>
      </c>
      <c r="H30">
        <f>IF(J30="Success", G30, NA())</f>
        <v>0</v>
      </c>
      <c r="I30">
        <f>IF(J30="Failure", G30, NA())</f>
        <v>0</v>
      </c>
      <c r="J30" t="s">
        <v>51</v>
      </c>
      <c r="K30">
        <v>2283548336.75</v>
      </c>
    </row>
    <row r="31" spans="1:11">
      <c r="B31" t="s">
        <v>44</v>
      </c>
      <c r="C31">
        <v>16535177</v>
      </c>
      <c r="D31">
        <v>155080738</v>
      </c>
      <c r="E31">
        <v>7930557991</v>
      </c>
      <c r="F31">
        <v>10017755471</v>
      </c>
      <c r="G31">
        <v>3000000000</v>
      </c>
      <c r="H31">
        <f>IF(J31="Success", G31, NA())</f>
        <v>0</v>
      </c>
      <c r="I31">
        <f>IF(J31="Failure", G31, NA())</f>
        <v>0</v>
      </c>
      <c r="J31" t="s">
        <v>51</v>
      </c>
      <c r="K31">
        <v>2283548336.75</v>
      </c>
    </row>
    <row r="32" spans="1:11">
      <c r="B32" t="s">
        <v>45</v>
      </c>
      <c r="C32">
        <v>3864165</v>
      </c>
      <c r="D32">
        <v>151121612</v>
      </c>
      <c r="E32">
        <v>5751426358</v>
      </c>
      <c r="F32">
        <v>19213517242</v>
      </c>
      <c r="G32">
        <v>2000000000</v>
      </c>
      <c r="H32">
        <f>IF(J32="Success", G32, NA())</f>
        <v>0</v>
      </c>
      <c r="I32">
        <f>IF(J32="Failure", G32, NA())</f>
        <v>0</v>
      </c>
      <c r="J32" t="s">
        <v>51</v>
      </c>
      <c r="K32">
        <v>3283548336.75</v>
      </c>
    </row>
    <row r="33" spans="2:11">
      <c r="B33" t="s">
        <v>46</v>
      </c>
      <c r="C33">
        <v>8114402</v>
      </c>
      <c r="D33">
        <v>156622085</v>
      </c>
      <c r="E33">
        <v>13125809791</v>
      </c>
      <c r="F33">
        <v>18829383099</v>
      </c>
      <c r="G33">
        <v>2000000000</v>
      </c>
      <c r="H33">
        <f>IF(J33="Success", G33, NA())</f>
        <v>0</v>
      </c>
      <c r="I33">
        <f>IF(J33="Failure", G33, NA())</f>
        <v>0</v>
      </c>
      <c r="J33" t="s">
        <v>51</v>
      </c>
      <c r="K33">
        <v>3283548336.75</v>
      </c>
    </row>
    <row r="34" spans="2:11">
      <c r="B34" t="s">
        <v>47</v>
      </c>
      <c r="C34">
        <v>19437734</v>
      </c>
      <c r="D34">
        <v>142124035</v>
      </c>
      <c r="E34">
        <v>10962145194</v>
      </c>
      <c r="F34">
        <v>27996222414</v>
      </c>
      <c r="G34">
        <v>2000000000</v>
      </c>
      <c r="H34">
        <f>IF(J34="Success", G34, NA())</f>
        <v>0</v>
      </c>
      <c r="I34">
        <f>IF(J34="Failure", G34, NA())</f>
        <v>0</v>
      </c>
      <c r="J34" t="s">
        <v>51</v>
      </c>
      <c r="K34">
        <v>3283548336.75</v>
      </c>
    </row>
    <row r="35" spans="2:11">
      <c r="B35" t="s">
        <v>48</v>
      </c>
      <c r="C35">
        <v>17422008</v>
      </c>
      <c r="D35">
        <v>120228249</v>
      </c>
      <c r="E35">
        <v>3362421091</v>
      </c>
      <c r="F35">
        <v>42619858029</v>
      </c>
      <c r="G35">
        <v>1000000000</v>
      </c>
      <c r="H35">
        <f>IF(J35="Success", G35, NA())</f>
        <v>0</v>
      </c>
      <c r="I35">
        <f>IF(J35="Failure", G35, NA())</f>
        <v>0</v>
      </c>
      <c r="J35" t="s">
        <v>51</v>
      </c>
      <c r="K35">
        <v>5283548336.75</v>
      </c>
    </row>
    <row r="36" spans="2:11">
      <c r="B36" t="s">
        <v>49</v>
      </c>
      <c r="C36">
        <v>1821013</v>
      </c>
      <c r="D36">
        <v>147575210</v>
      </c>
      <c r="E36">
        <v>3142032718</v>
      </c>
      <c r="F36">
        <v>50828500436</v>
      </c>
      <c r="G36">
        <v>3000000000</v>
      </c>
      <c r="H36">
        <f>IF(J36="Success", G36, NA())</f>
        <v>0</v>
      </c>
      <c r="I36">
        <f>IF(J36="Failure", G36, NA())</f>
        <v>0</v>
      </c>
      <c r="J36" t="s">
        <v>51</v>
      </c>
      <c r="K36">
        <v>6283548336.75</v>
      </c>
    </row>
    <row r="37" spans="2:11">
      <c r="B37" t="s">
        <v>50</v>
      </c>
      <c r="C37">
        <v>17556621</v>
      </c>
      <c r="D37">
        <v>142210224</v>
      </c>
      <c r="E37">
        <v>4733204512</v>
      </c>
      <c r="F37">
        <v>60226958020</v>
      </c>
      <c r="G37">
        <v>2000000000</v>
      </c>
      <c r="H37">
        <f>IF(J37="Success", G37, NA())</f>
        <v>0</v>
      </c>
      <c r="I37">
        <f>IF(J37="Failure", G37, NA())</f>
        <v>0</v>
      </c>
      <c r="J37" t="s">
        <v>51</v>
      </c>
      <c r="K37">
        <v>3658548336.75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2026-06-03T05:22:14Z</dcterms:created>
  <dcterms:modified xsi:type="dcterms:W3CDTF">2026-06-03T05:22:14Z</dcterms:modified>
</cp:coreProperties>
</file>