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tamps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<sst xmlns="http://schemas.openxmlformats.org/spreadsheetml/2006/main" count="89" uniqueCount="54">
  <si>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Node</t>
  </si>
  <si>
    <t>Job</t>
  </si>
  <si>
    <t>gradescope start</t>
  </si>
  <si>
    <t>gradescope duration</t>
  </si>
  <si>
    <t>junkyard duration</t>
  </si>
  <si>
    <t>waiting t.b. scheduled duration</t>
  </si>
  <si>
    <t>pod duration</t>
  </si>
  <si>
    <t>pod success duration</t>
  </si>
  <si>
    <t>pod failure duration</t>
  </si>
  <si>
    <t>Status</t>
  </si>
  <si>
    <t>node waiting for availability</t>
  </si>
  <si>
    <t>pf-022</t>
  </si>
  <si>
    <t>pf-025</t>
  </si>
  <si>
    <t>pf-026</t>
  </si>
  <si>
    <t>pf-027</t>
  </si>
  <si>
    <t>pf-028</t>
  </si>
  <si>
    <t>pf-029</t>
  </si>
  <si>
    <t>1s_11</t>
  </si>
  <si>
    <t>4s_8</t>
  </si>
  <si>
    <t>4s_2</t>
  </si>
  <si>
    <t>4s_6</t>
  </si>
  <si>
    <t>2s_7</t>
  </si>
  <si>
    <t>1s_2</t>
  </si>
  <si>
    <t>2s_6</t>
  </si>
  <si>
    <t>4s_11</t>
  </si>
  <si>
    <t>4s_10</t>
  </si>
  <si>
    <t>1s_5</t>
  </si>
  <si>
    <t>1s_8</t>
  </si>
  <si>
    <t>2s_2</t>
  </si>
  <si>
    <t>4s_3</t>
  </si>
  <si>
    <t>1s_6</t>
  </si>
  <si>
    <t>2s_9</t>
  </si>
  <si>
    <t>1s_3</t>
  </si>
  <si>
    <t>2s_4</t>
  </si>
  <si>
    <t>1s_10</t>
  </si>
  <si>
    <t>2s_10</t>
  </si>
  <si>
    <t>4s_9</t>
  </si>
  <si>
    <t>1s_9</t>
  </si>
  <si>
    <t>4s_5</t>
  </si>
  <si>
    <t>4s_4</t>
  </si>
  <si>
    <t>1s_1</t>
  </si>
  <si>
    <t>1s_4</t>
  </si>
  <si>
    <t>2s_11</t>
  </si>
  <si>
    <t>2s_1</t>
  </si>
  <si>
    <t>2s_8</t>
  </si>
  <si>
    <t>2s_12</t>
  </si>
  <si>
    <t>1s_12</t>
  </si>
  <si>
    <t>4s_7</t>
  </si>
  <si>
    <t>4s_12</t>
  </si>
  <si>
    <t>1s_7</t>
  </si>
  <si>
    <t>2s_3</t>
  </si>
  <si>
    <t>2s_5</t>
  </si>
  <si>
    <t>4s_1</t>
  </si>
  <si>
    <t>Success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</si>
</sst>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2000" baseline="0"/>
            </a:pPr>
            <a:r>
              <a:rPr lang="en-US" sz="2000" baseline="0"/>
              <a:t>36 jobs running across 6 nodes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Timestamps!$C$1</c:f>
              <c:strCache>
                <c:ptCount val="1"/>
                <c:pt idx="0">
                  <c:v>gradescope start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Timestamps!$A$2:$B$37</c:f>
            </c:numRef>
          </c:cat>
          <c:val>
            <c:numRef>
              <c:f>Timestamps!$C$2:$C$37</c:f>
              <c:numCache>
                <c:formatCode>General</c:formatCode>
                <c:ptCount val="36"/>
                <c:pt idx="0">
                  <c:v>23273302</c:v>
                </c:pt>
                <c:pt idx="1">
                  <c:v>30754157</c:v>
                </c:pt>
                <c:pt idx="2">
                  <c:v>8357285</c:v>
                </c:pt>
                <c:pt idx="3">
                  <c:v>12266797</c:v>
                </c:pt>
                <c:pt idx="4">
                  <c:v>28102021</c:v>
                </c:pt>
                <c:pt idx="5">
                  <c:v>5285921</c:v>
                </c:pt>
                <c:pt idx="6">
                  <c:v>16237499</c:v>
                </c:pt>
                <c:pt idx="7">
                  <c:v>33619173</c:v>
                </c:pt>
                <c:pt idx="8">
                  <c:v>26396256</c:v>
                </c:pt>
                <c:pt idx="9">
                  <c:v>4667608</c:v>
                </c:pt>
                <c:pt idx="10">
                  <c:v>23364937</c:v>
                </c:pt>
                <c:pt idx="11">
                  <c:v>2473432</c:v>
                </c:pt>
                <c:pt idx="12">
                  <c:v>0</c:v>
                </c:pt>
                <c:pt idx="13">
                  <c:v>17599280</c:v>
                </c:pt>
                <c:pt idx="14">
                  <c:v>19588129</c:v>
                </c:pt>
                <c:pt idx="15">
                  <c:v>4449411</c:v>
                </c:pt>
                <c:pt idx="16">
                  <c:v>91736738</c:v>
                </c:pt>
                <c:pt idx="17">
                  <c:v>20901321</c:v>
                </c:pt>
                <c:pt idx="18">
                  <c:v>28590551</c:v>
                </c:pt>
                <c:pt idx="19">
                  <c:v>26411017</c:v>
                </c:pt>
                <c:pt idx="20">
                  <c:v>30581774</c:v>
                </c:pt>
                <c:pt idx="21">
                  <c:v>72410240</c:v>
                </c:pt>
                <c:pt idx="22">
                  <c:v>3711997</c:v>
                </c:pt>
                <c:pt idx="23">
                  <c:v>1912751</c:v>
                </c:pt>
                <c:pt idx="24">
                  <c:v>7125440</c:v>
                </c:pt>
                <c:pt idx="25">
                  <c:v>30495116</c:v>
                </c:pt>
                <c:pt idx="26">
                  <c:v>8040103</c:v>
                </c:pt>
                <c:pt idx="27">
                  <c:v>28855683</c:v>
                </c:pt>
                <c:pt idx="28">
                  <c:v>32576020</c:v>
                </c:pt>
                <c:pt idx="29">
                  <c:v>33423934</c:v>
                </c:pt>
                <c:pt idx="30">
                  <c:v>32100234</c:v>
                </c:pt>
                <c:pt idx="31">
                  <c:v>26386965</c:v>
                </c:pt>
                <c:pt idx="32">
                  <c:v>14220094</c:v>
                </c:pt>
                <c:pt idx="33">
                  <c:v>7125726</c:v>
                </c:pt>
                <c:pt idx="34">
                  <c:v>49097505</c:v>
                </c:pt>
                <c:pt idx="35">
                  <c:v>398565</c:v>
                </c:pt>
              </c:numCache>
            </c:numRef>
          </c:val>
        </c:ser>
        <c:ser>
          <c:idx val="1"/>
          <c:order val="1"/>
          <c:tx>
            <c:strRef>
              <c:f>Timestamps!$D$1</c:f>
              <c:strCache>
                <c:ptCount val="1"/>
                <c:pt idx="0">
                  <c:v>gradescope duration</c:v>
                </c:pt>
              </c:strCache>
            </c:strRef>
          </c:tx>
          <c:spPr>
            <a:solidFill>
              <a:srgbClr val="C0504D"/>
            </a:solidFill>
          </c:spPr>
          <c:cat>
            <c:numRef>
              <c:f>Timestamps!$A$2:$B$37</c:f>
            </c:numRef>
          </c:cat>
          <c:val>
            <c:numRef>
              <c:f>Timestamps!$D$2:$D$37</c:f>
              <c:numCache>
                <c:formatCode>General</c:formatCode>
                <c:ptCount val="36"/>
                <c:pt idx="0">
                  <c:v>299808744</c:v>
                </c:pt>
                <c:pt idx="1">
                  <c:v>304618008</c:v>
                </c:pt>
                <c:pt idx="2">
                  <c:v>645883516</c:v>
                </c:pt>
                <c:pt idx="3">
                  <c:v>342477721</c:v>
                </c:pt>
                <c:pt idx="4">
                  <c:v>294274253</c:v>
                </c:pt>
                <c:pt idx="5">
                  <c:v>274218794</c:v>
                </c:pt>
                <c:pt idx="6">
                  <c:v>338670132</c:v>
                </c:pt>
                <c:pt idx="7">
                  <c:v>620454871</c:v>
                </c:pt>
                <c:pt idx="8">
                  <c:v>629689969</c:v>
                </c:pt>
                <c:pt idx="9">
                  <c:v>330527045</c:v>
                </c:pt>
                <c:pt idx="10">
                  <c:v>330985115</c:v>
                </c:pt>
                <c:pt idx="11">
                  <c:v>297167065</c:v>
                </c:pt>
                <c:pt idx="12">
                  <c:v>369077712</c:v>
                </c:pt>
                <c:pt idx="13">
                  <c:v>636015031</c:v>
                </c:pt>
                <c:pt idx="14">
                  <c:v>334583009</c:v>
                </c:pt>
                <c:pt idx="15">
                  <c:v>275077035</c:v>
                </c:pt>
                <c:pt idx="16">
                  <c:v>250506641</c:v>
                </c:pt>
                <c:pt idx="17">
                  <c:v>282593657</c:v>
                </c:pt>
                <c:pt idx="18">
                  <c:v>296622029</c:v>
                </c:pt>
                <c:pt idx="19">
                  <c:v>616330115</c:v>
                </c:pt>
                <c:pt idx="20">
                  <c:v>278744548</c:v>
                </c:pt>
                <c:pt idx="21">
                  <c:v>253105049</c:v>
                </c:pt>
                <c:pt idx="22">
                  <c:v>318734009</c:v>
                </c:pt>
                <c:pt idx="23">
                  <c:v>256957258</c:v>
                </c:pt>
                <c:pt idx="24">
                  <c:v>272541203</c:v>
                </c:pt>
                <c:pt idx="25">
                  <c:v>255634723</c:v>
                </c:pt>
                <c:pt idx="26">
                  <c:v>277915855</c:v>
                </c:pt>
                <c:pt idx="27">
                  <c:v>270749160</c:v>
                </c:pt>
                <c:pt idx="28">
                  <c:v>320364414</c:v>
                </c:pt>
                <c:pt idx="29">
                  <c:v>324551407</c:v>
                </c:pt>
                <c:pt idx="30">
                  <c:v>270900073</c:v>
                </c:pt>
                <c:pt idx="31">
                  <c:v>326411933</c:v>
                </c:pt>
                <c:pt idx="32">
                  <c:v>1667280317</c:v>
                </c:pt>
                <c:pt idx="33">
                  <c:v>347719234</c:v>
                </c:pt>
                <c:pt idx="34">
                  <c:v>275507535</c:v>
                </c:pt>
                <c:pt idx="35">
                  <c:v>342573027</c:v>
                </c:pt>
              </c:numCache>
            </c:numRef>
          </c:val>
        </c:ser>
        <c:ser>
          <c:idx val="2"/>
          <c:order val="2"/>
          <c:tx>
            <c:strRef>
              <c:f>Timestamps!$E$1</c:f>
              <c:strCache>
                <c:ptCount val="1"/>
                <c:pt idx="0">
                  <c:v>junkyard duration</c:v>
                </c:pt>
              </c:strCache>
            </c:strRef>
          </c:tx>
          <c:spPr>
            <a:solidFill>
              <a:srgbClr val="9BBB59"/>
            </a:solidFill>
          </c:spPr>
          <c:cat>
            <c:numRef>
              <c:f>Timestamps!$A$2:$B$37</c:f>
            </c:numRef>
          </c:cat>
          <c:val>
            <c:numRef>
              <c:f>Timestamps!$E$2:$E$37</c:f>
              <c:numCache>
                <c:formatCode>General</c:formatCode>
                <c:ptCount val="36"/>
                <c:pt idx="0">
                  <c:v>685111825</c:v>
                </c:pt>
                <c:pt idx="1">
                  <c:v>1180079472</c:v>
                </c:pt>
                <c:pt idx="2">
                  <c:v>11087580229</c:v>
                </c:pt>
                <c:pt idx="3">
                  <c:v>6953632665</c:v>
                </c:pt>
                <c:pt idx="4">
                  <c:v>3611916542</c:v>
                </c:pt>
                <c:pt idx="5">
                  <c:v>674228955</c:v>
                </c:pt>
                <c:pt idx="6">
                  <c:v>6192261049</c:v>
                </c:pt>
                <c:pt idx="7">
                  <c:v>10684573875</c:v>
                </c:pt>
                <c:pt idx="8">
                  <c:v>9869645849</c:v>
                </c:pt>
                <c:pt idx="9">
                  <c:v>3222905449</c:v>
                </c:pt>
                <c:pt idx="10">
                  <c:v>4560773692</c:v>
                </c:pt>
                <c:pt idx="11">
                  <c:v>674277792</c:v>
                </c:pt>
                <c:pt idx="12">
                  <c:v>6601367194</c:v>
                </c:pt>
                <c:pt idx="13">
                  <c:v>11286532084</c:v>
                </c:pt>
                <c:pt idx="14">
                  <c:v>8161767905</c:v>
                </c:pt>
                <c:pt idx="15">
                  <c:v>2641786533</c:v>
                </c:pt>
                <c:pt idx="16">
                  <c:v>3991478054</c:v>
                </c:pt>
                <c:pt idx="17">
                  <c:v>697594022</c:v>
                </c:pt>
                <c:pt idx="18">
                  <c:v>697722696</c:v>
                </c:pt>
                <c:pt idx="19">
                  <c:v>10289596554</c:v>
                </c:pt>
                <c:pt idx="20">
                  <c:v>9830135036</c:v>
                </c:pt>
                <c:pt idx="21">
                  <c:v>1999920521</c:v>
                </c:pt>
                <c:pt idx="22">
                  <c:v>4421200180</c:v>
                </c:pt>
                <c:pt idx="23">
                  <c:v>742010837</c:v>
                </c:pt>
                <c:pt idx="24">
                  <c:v>833052778</c:v>
                </c:pt>
                <c:pt idx="25">
                  <c:v>8831478463</c:v>
                </c:pt>
                <c:pt idx="26">
                  <c:v>9229006602</c:v>
                </c:pt>
                <c:pt idx="27">
                  <c:v>1828652966</c:v>
                </c:pt>
                <c:pt idx="28">
                  <c:v>3365426203</c:v>
                </c:pt>
                <c:pt idx="29">
                  <c:v>5164290774</c:v>
                </c:pt>
                <c:pt idx="30">
                  <c:v>696916191</c:v>
                </c:pt>
                <c:pt idx="31">
                  <c:v>7586858124</c:v>
                </c:pt>
                <c:pt idx="32">
                  <c:v>10441970477</c:v>
                </c:pt>
                <c:pt idx="33">
                  <c:v>8364800380</c:v>
                </c:pt>
                <c:pt idx="34">
                  <c:v>2795787334</c:v>
                </c:pt>
                <c:pt idx="35">
                  <c:v>4784984259</c:v>
                </c:pt>
              </c:numCache>
            </c:numRef>
          </c:val>
        </c:ser>
        <c:ser>
          <c:idx val="3"/>
          <c:order val="3"/>
          <c:tx>
            <c:strRef>
              <c:f>Timestamps!$F$1</c:f>
              <c:strCache>
                <c:ptCount val="1"/>
                <c:pt idx="0">
                  <c:v>waiting t.b. scheduled duration</c:v>
                </c:pt>
              </c:strCache>
            </c:strRef>
          </c:tx>
          <c:spPr>
            <a:solidFill>
              <a:srgbClr val="8064A2"/>
            </a:solidFill>
          </c:spPr>
          <c:cat>
            <c:numRef>
              <c:f>Timestamps!$A$2:$B$37</c:f>
            </c:numRef>
          </c:cat>
          <c:val>
            <c:numRef>
              <c:f>Timestamps!$F$2:$F$37</c:f>
              <c:numCache>
                <c:formatCode>General</c:formatCode>
                <c:ptCount val="36"/>
                <c:pt idx="0">
                  <c:v>642363334</c:v>
                </c:pt>
                <c:pt idx="1">
                  <c:v>6135105568</c:v>
                </c:pt>
                <c:pt idx="2">
                  <c:v>3908736175</c:v>
                </c:pt>
                <c:pt idx="3">
                  <c:v>16342180022</c:v>
                </c:pt>
                <c:pt idx="4">
                  <c:v>27716264389</c:v>
                </c:pt>
                <c:pt idx="5">
                  <c:v>696823535</c:v>
                </c:pt>
                <c:pt idx="6">
                  <c:v>1103388525</c:v>
                </c:pt>
                <c:pt idx="7">
                  <c:v>2311909286</c:v>
                </c:pt>
                <c:pt idx="8">
                  <c:v>11124825131</c:v>
                </c:pt>
                <c:pt idx="9">
                  <c:v>26092457103</c:v>
                </c:pt>
                <c:pt idx="10">
                  <c:v>29735433461</c:v>
                </c:pt>
                <c:pt idx="11">
                  <c:v>676638916</c:v>
                </c:pt>
                <c:pt idx="12">
                  <c:v>1680112299</c:v>
                </c:pt>
                <c:pt idx="13">
                  <c:v>4710410810</c:v>
                </c:pt>
                <c:pt idx="14">
                  <c:v>13134618162</c:v>
                </c:pt>
                <c:pt idx="15">
                  <c:v>24729244226</c:v>
                </c:pt>
                <c:pt idx="16">
                  <c:v>28316835772</c:v>
                </c:pt>
                <c:pt idx="17">
                  <c:v>1649468205</c:v>
                </c:pt>
                <c:pt idx="18">
                  <c:v>5627621929</c:v>
                </c:pt>
                <c:pt idx="19">
                  <c:v>1718219519</c:v>
                </c:pt>
                <c:pt idx="20">
                  <c:v>10511095847</c:v>
                </c:pt>
                <c:pt idx="21">
                  <c:v>23325121395</c:v>
                </c:pt>
                <c:pt idx="22">
                  <c:v>29906911019</c:v>
                </c:pt>
                <c:pt idx="23">
                  <c:v>649676359</c:v>
                </c:pt>
                <c:pt idx="24">
                  <c:v>5537837784</c:v>
                </c:pt>
                <c:pt idx="25">
                  <c:v>2532948903</c:v>
                </c:pt>
                <c:pt idx="26">
                  <c:v>8135594645</c:v>
                </c:pt>
                <c:pt idx="27">
                  <c:v>21522299396</c:v>
                </c:pt>
                <c:pt idx="28">
                  <c:v>25932190568</c:v>
                </c:pt>
                <c:pt idx="29">
                  <c:v>30128291090</c:v>
                </c:pt>
                <c:pt idx="30">
                  <c:v>650640707</c:v>
                </c:pt>
                <c:pt idx="31">
                  <c:v>1710900183</c:v>
                </c:pt>
                <c:pt idx="32">
                  <c:v>5527086317</c:v>
                </c:pt>
                <c:pt idx="33">
                  <c:v>13930911865</c:v>
                </c:pt>
                <c:pt idx="34">
                  <c:v>25530164831</c:v>
                </c:pt>
                <c:pt idx="35">
                  <c:v>29522601354</c:v>
                </c:pt>
              </c:numCache>
            </c:numRef>
          </c:val>
        </c:ser>
        <c:ser>
          <c:idx val="4"/>
          <c:order val="4"/>
          <c:tx>
            <c:strRef>
              <c:f>Timestamps!$H$1</c:f>
              <c:strCache>
                <c:ptCount val="1"/>
                <c:pt idx="0">
                  <c:v>pod success duration</c:v>
                </c:pt>
              </c:strCache>
            </c:strRef>
          </c:tx>
          <c:spPr>
            <a:solidFill>
              <a:srgbClr val="4BACC6"/>
            </a:solidFill>
          </c:spPr>
          <c:cat>
            <c:numRef>
              <c:f>Timestamps!$A$2:$B$37</c:f>
            </c:numRef>
          </c:cat>
          <c:val>
            <c:numRef>
              <c:f>Timestamps!$H$2:$H$37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5"/>
          <c:order val="5"/>
          <c:tx>
            <c:strRef>
              <c:f>Timestamps!$I$1</c:f>
              <c:strCache>
                <c:ptCount val="1"/>
                <c:pt idx="0">
                  <c:v>pod failure duration</c:v>
                </c:pt>
              </c:strCache>
            </c:strRef>
          </c:tx>
          <c:spPr>
            <a:solidFill>
              <a:srgbClr val="F79646"/>
            </a:solidFill>
          </c:spPr>
          <c:cat>
            <c:numRef>
              <c:f>Timestamps!$A$2:$B$37</c:f>
            </c:numRef>
          </c:cat>
          <c:val>
            <c:numRef>
              <c:f>Timestamps!$I$2:$I$37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6"/>
          <c:order val="6"/>
          <c:tx>
            <c:strRef>
              <c:f>Timestamps!$K$1</c:f>
              <c:strCache>
                <c:ptCount val="1"/>
                <c:pt idx="0">
                  <c:v>node waiting for availability</c:v>
                </c:pt>
              </c:strCache>
            </c:strRef>
          </c:tx>
          <c:spPr>
            <a:solidFill>
              <a:srgbClr val="1F497D"/>
            </a:solidFill>
          </c:spPr>
          <c:cat>
            <c:numRef>
              <c:f>Timestamps!$A$2:$B$37</c:f>
            </c:numRef>
          </c:cat>
          <c:val>
            <c:numRef>
              <c:f>Timestamps!$K$2:$K$37</c:f>
              <c:numCache>
                <c:formatCode>General</c:formatCode>
                <c:ptCount val="36"/>
                <c:pt idx="0">
                  <c:v>3172398157.333333</c:v>
                </c:pt>
                <c:pt idx="1">
                  <c:v>2172398157.333333</c:v>
                </c:pt>
                <c:pt idx="2">
                  <c:v>2172398157.333333</c:v>
                </c:pt>
                <c:pt idx="3">
                  <c:v>2172398157.333333</c:v>
                </c:pt>
                <c:pt idx="4">
                  <c:v>2422398157.333333</c:v>
                </c:pt>
                <c:pt idx="5">
                  <c:v>3172398157.333333</c:v>
                </c:pt>
                <c:pt idx="6">
                  <c:v>3172398157.333333</c:v>
                </c:pt>
                <c:pt idx="7">
                  <c:v>2172398157.333333</c:v>
                </c:pt>
                <c:pt idx="8">
                  <c:v>3172398157.333333</c:v>
                </c:pt>
                <c:pt idx="9">
                  <c:v>2172398157.333333</c:v>
                </c:pt>
                <c:pt idx="10">
                  <c:v>2772398157.333333</c:v>
                </c:pt>
                <c:pt idx="11">
                  <c:v>3172398157.333333</c:v>
                </c:pt>
                <c:pt idx="12">
                  <c:v>3172398157.333333</c:v>
                </c:pt>
                <c:pt idx="13">
                  <c:v>2172398157.333333</c:v>
                </c:pt>
                <c:pt idx="14">
                  <c:v>2172398157.333333</c:v>
                </c:pt>
                <c:pt idx="15">
                  <c:v>2172398157.333333</c:v>
                </c:pt>
                <c:pt idx="16">
                  <c:v>2572398157.333333</c:v>
                </c:pt>
                <c:pt idx="17">
                  <c:v>2172398157.333333</c:v>
                </c:pt>
                <c:pt idx="18">
                  <c:v>2172398157.333333</c:v>
                </c:pt>
                <c:pt idx="19">
                  <c:v>2172398157.333333</c:v>
                </c:pt>
                <c:pt idx="20">
                  <c:v>2172398157.333333</c:v>
                </c:pt>
                <c:pt idx="21">
                  <c:v>3172398157.333333</c:v>
                </c:pt>
                <c:pt idx="22">
                  <c:v>2372398157.333333</c:v>
                </c:pt>
                <c:pt idx="23">
                  <c:v>2172398157.333333</c:v>
                </c:pt>
                <c:pt idx="24">
                  <c:v>3172398157.333333</c:v>
                </c:pt>
                <c:pt idx="25">
                  <c:v>2172398157.333333</c:v>
                </c:pt>
                <c:pt idx="26">
                  <c:v>2172398157.333333</c:v>
                </c:pt>
                <c:pt idx="27">
                  <c:v>2172398157.333333</c:v>
                </c:pt>
                <c:pt idx="28">
                  <c:v>2172398157.333333</c:v>
                </c:pt>
                <c:pt idx="29">
                  <c:v>2339064824</c:v>
                </c:pt>
                <c:pt idx="30">
                  <c:v>2172398157.333333</c:v>
                </c:pt>
                <c:pt idx="31">
                  <c:v>3172398157.333333</c:v>
                </c:pt>
                <c:pt idx="32">
                  <c:v>2172398157.333333</c:v>
                </c:pt>
                <c:pt idx="33">
                  <c:v>2172398157.333333</c:v>
                </c:pt>
                <c:pt idx="34">
                  <c:v>2172398157.333333</c:v>
                </c:pt>
                <c:pt idx="35">
                  <c:v>2372398157.333333</c:v>
                </c:pt>
              </c:numCache>
            </c:numRef>
          </c:val>
        </c:ser>
        <c:gapWidth val="50"/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tle>
          <c:tx>
            <c:rich>
              <a:bodyPr rot="-5400000" vert="horz"/>
              <a:lstStyle/>
              <a:p>
                <a:pPr>
                  <a:defRPr sz="2000" baseline="0"/>
                </a:pPr>
                <a:r>
                  <a:rPr lang="en-US" sz="2000" baseline="0"/>
                  <a:t>Node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4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 sz="2000" baseline="0"/>
                </a:pPr>
                <a:r>
                  <a:rPr lang="en-US" sz="2000" baseline="0"/>
                  <a:t>Time (nanoseconds)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egendEntry>
        <c:idx val="0"/>
        <c:delete val="1"/>
      </c:legendEntry>
      <c:layout/>
      <c:txPr>
        <a:bodyPr/>
        <a:lstStyle/>
        <a:p>
          <a:pPr>
            <a:defRPr sz="16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37</xdr:col>
      <xdr:colOff>0</xdr:colOff>
      <xdr:row>46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17</v>
      </c>
      <c r="C2">
        <v>23273302</v>
      </c>
      <c r="D2">
        <v>299808744</v>
      </c>
      <c r="E2">
        <v>685111825</v>
      </c>
      <c r="F2">
        <v>642363334</v>
      </c>
      <c r="G2">
        <v>2000000000</v>
      </c>
      <c r="H2">
        <f>IF(J2="Success", G2, NA())</f>
        <v>0</v>
      </c>
      <c r="I2">
        <f>IF(J2="Failure", G2, NA())</f>
        <v>0</v>
      </c>
      <c r="J2" t="s">
        <v>53</v>
      </c>
      <c r="K2">
        <v>3172398157.333333</v>
      </c>
    </row>
    <row r="3" spans="1:11">
      <c r="B3" t="s">
        <v>18</v>
      </c>
      <c r="C3">
        <v>30754157</v>
      </c>
      <c r="D3">
        <v>304618008</v>
      </c>
      <c r="E3">
        <v>1180079472</v>
      </c>
      <c r="F3">
        <v>6135105568</v>
      </c>
      <c r="G3">
        <v>5000000000</v>
      </c>
      <c r="H3">
        <f>IF(J3="Success", G3, NA())</f>
        <v>0</v>
      </c>
      <c r="I3">
        <f>IF(J3="Failure", G3, NA())</f>
        <v>0</v>
      </c>
      <c r="J3" t="s">
        <v>53</v>
      </c>
      <c r="K3">
        <v>2172398157.333333</v>
      </c>
    </row>
    <row r="4" spans="1:11">
      <c r="B4" t="s">
        <v>19</v>
      </c>
      <c r="C4">
        <v>8357285</v>
      </c>
      <c r="D4">
        <v>645883516</v>
      </c>
      <c r="E4">
        <v>11087580229</v>
      </c>
      <c r="F4">
        <v>3908736175</v>
      </c>
      <c r="G4">
        <v>5000000000</v>
      </c>
      <c r="H4">
        <f>IF(J4="Success", G4, NA())</f>
        <v>0</v>
      </c>
      <c r="I4">
        <f>IF(J4="Failure", G4, NA())</f>
        <v>0</v>
      </c>
      <c r="J4" t="s">
        <v>53</v>
      </c>
      <c r="K4">
        <v>2172398157.333333</v>
      </c>
    </row>
    <row r="5" spans="1:11">
      <c r="B5" t="s">
        <v>20</v>
      </c>
      <c r="C5">
        <v>12266797</v>
      </c>
      <c r="D5">
        <v>342477721</v>
      </c>
      <c r="E5">
        <v>6953632665</v>
      </c>
      <c r="F5">
        <v>16342180022</v>
      </c>
      <c r="G5">
        <v>5000000000</v>
      </c>
      <c r="H5">
        <f>IF(J5="Success", G5, NA())</f>
        <v>0</v>
      </c>
      <c r="I5">
        <f>IF(J5="Failure", G5, NA())</f>
        <v>0</v>
      </c>
      <c r="J5" t="s">
        <v>53</v>
      </c>
      <c r="K5">
        <v>2172398157.333333</v>
      </c>
    </row>
    <row r="6" spans="1:11">
      <c r="B6" t="s">
        <v>21</v>
      </c>
      <c r="C6">
        <v>28102021</v>
      </c>
      <c r="D6">
        <v>294274253</v>
      </c>
      <c r="E6">
        <v>3611916542</v>
      </c>
      <c r="F6">
        <v>27716264389</v>
      </c>
      <c r="G6">
        <v>3000000000</v>
      </c>
      <c r="H6">
        <f>IF(J6="Success", G6, NA())</f>
        <v>0</v>
      </c>
      <c r="I6">
        <f>IF(J6="Failure", G6, NA())</f>
        <v>0</v>
      </c>
      <c r="J6" t="s">
        <v>53</v>
      </c>
      <c r="K6">
        <v>2422398157.333333</v>
      </c>
    </row>
    <row r="7" spans="1:11">
      <c r="A7" t="s">
        <v>12</v>
      </c>
      <c r="B7" t="s">
        <v>22</v>
      </c>
      <c r="C7">
        <v>5285921</v>
      </c>
      <c r="D7">
        <v>274218794</v>
      </c>
      <c r="E7">
        <v>674228955</v>
      </c>
      <c r="F7">
        <v>696823535</v>
      </c>
      <c r="G7">
        <v>2000000000</v>
      </c>
      <c r="H7">
        <f>IF(J7="Success", G7, NA())</f>
        <v>0</v>
      </c>
      <c r="I7">
        <f>IF(J7="Failure", G7, NA())</f>
        <v>0</v>
      </c>
      <c r="J7" t="s">
        <v>53</v>
      </c>
      <c r="K7">
        <v>3172398157.333333</v>
      </c>
    </row>
    <row r="8" spans="1:11">
      <c r="B8" t="s">
        <v>23</v>
      </c>
      <c r="C8">
        <v>16237499</v>
      </c>
      <c r="D8">
        <v>338670132</v>
      </c>
      <c r="E8">
        <v>6192261049</v>
      </c>
      <c r="F8">
        <v>1103388525</v>
      </c>
      <c r="G8">
        <v>2000000000</v>
      </c>
      <c r="H8">
        <f>IF(J8="Success", G8, NA())</f>
        <v>0</v>
      </c>
      <c r="I8">
        <f>IF(J8="Failure", G8, NA())</f>
        <v>0</v>
      </c>
      <c r="J8" t="s">
        <v>53</v>
      </c>
      <c r="K8">
        <v>3172398157.333333</v>
      </c>
    </row>
    <row r="9" spans="1:11">
      <c r="B9" t="s">
        <v>24</v>
      </c>
      <c r="C9">
        <v>33619173</v>
      </c>
      <c r="D9">
        <v>620454871</v>
      </c>
      <c r="E9">
        <v>10684573875</v>
      </c>
      <c r="F9">
        <v>2311909286</v>
      </c>
      <c r="G9">
        <v>5000000000</v>
      </c>
      <c r="H9">
        <f>IF(J9="Success", G9, NA())</f>
        <v>0</v>
      </c>
      <c r="I9">
        <f>IF(J9="Failure", G9, NA())</f>
        <v>0</v>
      </c>
      <c r="J9" t="s">
        <v>53</v>
      </c>
      <c r="K9">
        <v>2172398157.333333</v>
      </c>
    </row>
    <row r="10" spans="1:11">
      <c r="B10" t="s">
        <v>25</v>
      </c>
      <c r="C10">
        <v>26396256</v>
      </c>
      <c r="D10">
        <v>629689969</v>
      </c>
      <c r="E10">
        <v>9869645849</v>
      </c>
      <c r="F10">
        <v>11124825131</v>
      </c>
      <c r="G10">
        <v>4000000000</v>
      </c>
      <c r="H10">
        <f>IF(J10="Success", G10, NA())</f>
        <v>0</v>
      </c>
      <c r="I10">
        <f>IF(J10="Failure", G10, NA())</f>
        <v>0</v>
      </c>
      <c r="J10" t="s">
        <v>53</v>
      </c>
      <c r="K10">
        <v>3172398157.333333</v>
      </c>
    </row>
    <row r="11" spans="1:11">
      <c r="B11" t="s">
        <v>26</v>
      </c>
      <c r="C11">
        <v>4667608</v>
      </c>
      <c r="D11">
        <v>330527045</v>
      </c>
      <c r="E11">
        <v>3222905449</v>
      </c>
      <c r="F11">
        <v>26092457103</v>
      </c>
      <c r="G11">
        <v>2000000000</v>
      </c>
      <c r="H11">
        <f>IF(J11="Success", G11, NA())</f>
        <v>0</v>
      </c>
      <c r="I11">
        <f>IF(J11="Failure", G11, NA())</f>
        <v>0</v>
      </c>
      <c r="J11" t="s">
        <v>53</v>
      </c>
      <c r="K11">
        <v>2172398157.333333</v>
      </c>
    </row>
    <row r="12" spans="1:11">
      <c r="B12" t="s">
        <v>27</v>
      </c>
      <c r="C12">
        <v>23364937</v>
      </c>
      <c r="D12">
        <v>330985115</v>
      </c>
      <c r="E12">
        <v>4560773692</v>
      </c>
      <c r="F12">
        <v>29735433461</v>
      </c>
      <c r="G12">
        <v>2000000000</v>
      </c>
      <c r="H12">
        <f>IF(J12="Success", G12, NA())</f>
        <v>0</v>
      </c>
      <c r="I12">
        <f>IF(J12="Failure", G12, NA())</f>
        <v>0</v>
      </c>
      <c r="J12" t="s">
        <v>53</v>
      </c>
      <c r="K12">
        <v>2772398157.333333</v>
      </c>
    </row>
    <row r="13" spans="1:11">
      <c r="A13" t="s">
        <v>13</v>
      </c>
      <c r="B13" t="s">
        <v>28</v>
      </c>
      <c r="C13">
        <v>2473432</v>
      </c>
      <c r="D13">
        <v>297167065</v>
      </c>
      <c r="E13">
        <v>674277792</v>
      </c>
      <c r="F13">
        <v>676638916</v>
      </c>
      <c r="G13">
        <v>3000000000</v>
      </c>
      <c r="H13">
        <f>IF(J13="Success", G13, NA())</f>
        <v>0</v>
      </c>
      <c r="I13">
        <f>IF(J13="Failure", G13, NA())</f>
        <v>0</v>
      </c>
      <c r="J13" t="s">
        <v>53</v>
      </c>
      <c r="K13">
        <v>3172398157.333333</v>
      </c>
    </row>
    <row r="14" spans="1:11">
      <c r="B14" t="s">
        <v>29</v>
      </c>
      <c r="C14">
        <v>0</v>
      </c>
      <c r="D14">
        <v>369077712</v>
      </c>
      <c r="E14">
        <v>6601367194</v>
      </c>
      <c r="F14">
        <v>1680112299</v>
      </c>
      <c r="G14">
        <v>4000000000</v>
      </c>
      <c r="H14">
        <f>IF(J14="Success", G14, NA())</f>
        <v>0</v>
      </c>
      <c r="I14">
        <f>IF(J14="Failure", G14, NA())</f>
        <v>0</v>
      </c>
      <c r="J14" t="s">
        <v>53</v>
      </c>
      <c r="K14">
        <v>3172398157.333333</v>
      </c>
    </row>
    <row r="15" spans="1:11">
      <c r="B15" t="s">
        <v>30</v>
      </c>
      <c r="C15">
        <v>17599280</v>
      </c>
      <c r="D15">
        <v>636015031</v>
      </c>
      <c r="E15">
        <v>11286532084</v>
      </c>
      <c r="F15">
        <v>4710410810</v>
      </c>
      <c r="G15">
        <v>2000000000</v>
      </c>
      <c r="H15">
        <f>IF(J15="Success", G15, NA())</f>
        <v>0</v>
      </c>
      <c r="I15">
        <f>IF(J15="Failure", G15, NA())</f>
        <v>0</v>
      </c>
      <c r="J15" t="s">
        <v>53</v>
      </c>
      <c r="K15">
        <v>2172398157.333333</v>
      </c>
    </row>
    <row r="16" spans="1:11">
      <c r="B16" t="s">
        <v>31</v>
      </c>
      <c r="C16">
        <v>19588129</v>
      </c>
      <c r="D16">
        <v>334583009</v>
      </c>
      <c r="E16">
        <v>8161767905</v>
      </c>
      <c r="F16">
        <v>13134618162</v>
      </c>
      <c r="G16">
        <v>3000000000</v>
      </c>
      <c r="H16">
        <f>IF(J16="Success", G16, NA())</f>
        <v>0</v>
      </c>
      <c r="I16">
        <f>IF(J16="Failure", G16, NA())</f>
        <v>0</v>
      </c>
      <c r="J16" t="s">
        <v>53</v>
      </c>
      <c r="K16">
        <v>2172398157.333333</v>
      </c>
    </row>
    <row r="17" spans="1:11">
      <c r="B17" t="s">
        <v>32</v>
      </c>
      <c r="C17">
        <v>4449411</v>
      </c>
      <c r="D17">
        <v>275077035</v>
      </c>
      <c r="E17">
        <v>2641786533</v>
      </c>
      <c r="F17">
        <v>24729244226</v>
      </c>
      <c r="G17">
        <v>2000000000</v>
      </c>
      <c r="H17">
        <f>IF(J17="Success", G17, NA())</f>
        <v>0</v>
      </c>
      <c r="I17">
        <f>IF(J17="Failure", G17, NA())</f>
        <v>0</v>
      </c>
      <c r="J17" t="s">
        <v>53</v>
      </c>
      <c r="K17">
        <v>2172398157.333333</v>
      </c>
    </row>
    <row r="18" spans="1:11">
      <c r="B18" t="s">
        <v>33</v>
      </c>
      <c r="C18">
        <v>91736738</v>
      </c>
      <c r="D18">
        <v>250506641</v>
      </c>
      <c r="E18">
        <v>3991478054</v>
      </c>
      <c r="F18">
        <v>28316835772</v>
      </c>
      <c r="G18">
        <v>3000000000</v>
      </c>
      <c r="H18">
        <f>IF(J18="Success", G18, NA())</f>
        <v>0</v>
      </c>
      <c r="I18">
        <f>IF(J18="Failure", G18, NA())</f>
        <v>0</v>
      </c>
      <c r="J18" t="s">
        <v>53</v>
      </c>
      <c r="K18">
        <v>2572398157.333333</v>
      </c>
    </row>
    <row r="19" spans="1:11">
      <c r="A19" t="s">
        <v>14</v>
      </c>
      <c r="B19" t="s">
        <v>34</v>
      </c>
      <c r="C19">
        <v>20901321</v>
      </c>
      <c r="D19">
        <v>282593657</v>
      </c>
      <c r="E19">
        <v>697594022</v>
      </c>
      <c r="F19">
        <v>1649468205</v>
      </c>
      <c r="G19">
        <v>1000000000</v>
      </c>
      <c r="H19">
        <f>IF(J19="Success", G19, NA())</f>
        <v>0</v>
      </c>
      <c r="I19">
        <f>IF(J19="Failure", G19, NA())</f>
        <v>0</v>
      </c>
      <c r="J19" t="s">
        <v>53</v>
      </c>
      <c r="K19">
        <v>2172398157.333333</v>
      </c>
    </row>
    <row r="20" spans="1:11">
      <c r="B20" t="s">
        <v>35</v>
      </c>
      <c r="C20">
        <v>28590551</v>
      </c>
      <c r="D20">
        <v>296622029</v>
      </c>
      <c r="E20">
        <v>697722696</v>
      </c>
      <c r="F20">
        <v>5627621929</v>
      </c>
      <c r="G20">
        <v>3000000000</v>
      </c>
      <c r="H20">
        <f>IF(J20="Success", G20, NA())</f>
        <v>0</v>
      </c>
      <c r="I20">
        <f>IF(J20="Failure", G20, NA())</f>
        <v>0</v>
      </c>
      <c r="J20" t="s">
        <v>53</v>
      </c>
      <c r="K20">
        <v>2172398157.333333</v>
      </c>
    </row>
    <row r="21" spans="1:11">
      <c r="B21" t="s">
        <v>36</v>
      </c>
      <c r="C21">
        <v>26411017</v>
      </c>
      <c r="D21">
        <v>616330115</v>
      </c>
      <c r="E21">
        <v>10289596554</v>
      </c>
      <c r="F21">
        <v>1718219519</v>
      </c>
      <c r="G21">
        <v>5000000000</v>
      </c>
      <c r="H21">
        <f>IF(J21="Success", G21, NA())</f>
        <v>0</v>
      </c>
      <c r="I21">
        <f>IF(J21="Failure", G21, NA())</f>
        <v>0</v>
      </c>
      <c r="J21" t="s">
        <v>53</v>
      </c>
      <c r="K21">
        <v>2172398157.333333</v>
      </c>
    </row>
    <row r="22" spans="1:11">
      <c r="B22" t="s">
        <v>37</v>
      </c>
      <c r="C22">
        <v>30581774</v>
      </c>
      <c r="D22">
        <v>278744548</v>
      </c>
      <c r="E22">
        <v>9830135036</v>
      </c>
      <c r="F22">
        <v>10511095847</v>
      </c>
      <c r="G22">
        <v>2000000000</v>
      </c>
      <c r="H22">
        <f>IF(J22="Success", G22, NA())</f>
        <v>0</v>
      </c>
      <c r="I22">
        <f>IF(J22="Failure", G22, NA())</f>
        <v>0</v>
      </c>
      <c r="J22" t="s">
        <v>53</v>
      </c>
      <c r="K22">
        <v>2172398157.333333</v>
      </c>
    </row>
    <row r="23" spans="1:11">
      <c r="B23" t="s">
        <v>38</v>
      </c>
      <c r="C23">
        <v>72410240</v>
      </c>
      <c r="D23">
        <v>253105049</v>
      </c>
      <c r="E23">
        <v>1999920521</v>
      </c>
      <c r="F23">
        <v>23325121395</v>
      </c>
      <c r="G23">
        <v>5000000000</v>
      </c>
      <c r="H23">
        <f>IF(J23="Success", G23, NA())</f>
        <v>0</v>
      </c>
      <c r="I23">
        <f>IF(J23="Failure", G23, NA())</f>
        <v>0</v>
      </c>
      <c r="J23" t="s">
        <v>53</v>
      </c>
      <c r="K23">
        <v>3172398157.333333</v>
      </c>
    </row>
    <row r="24" spans="1:11">
      <c r="B24" t="s">
        <v>39</v>
      </c>
      <c r="C24">
        <v>3711997</v>
      </c>
      <c r="D24">
        <v>318734009</v>
      </c>
      <c r="E24">
        <v>4421200180</v>
      </c>
      <c r="F24">
        <v>29906911019</v>
      </c>
      <c r="G24">
        <v>5000000000</v>
      </c>
      <c r="H24">
        <f>IF(J24="Success", G24, NA())</f>
        <v>0</v>
      </c>
      <c r="I24">
        <f>IF(J24="Failure", G24, NA())</f>
        <v>0</v>
      </c>
      <c r="J24" t="s">
        <v>53</v>
      </c>
      <c r="K24">
        <v>2372398157.333333</v>
      </c>
    </row>
    <row r="25" spans="1:11">
      <c r="A25" t="s">
        <v>15</v>
      </c>
      <c r="B25" t="s">
        <v>40</v>
      </c>
      <c r="C25">
        <v>1912751</v>
      </c>
      <c r="D25">
        <v>256957258</v>
      </c>
      <c r="E25">
        <v>742010837</v>
      </c>
      <c r="F25">
        <v>649676359</v>
      </c>
      <c r="G25">
        <v>2000000000</v>
      </c>
      <c r="H25">
        <f>IF(J25="Success", G25, NA())</f>
        <v>0</v>
      </c>
      <c r="I25">
        <f>IF(J25="Failure", G25, NA())</f>
        <v>0</v>
      </c>
      <c r="J25" t="s">
        <v>53</v>
      </c>
      <c r="K25">
        <v>2172398157.333333</v>
      </c>
    </row>
    <row r="26" spans="1:11">
      <c r="B26" t="s">
        <v>41</v>
      </c>
      <c r="C26">
        <v>7125440</v>
      </c>
      <c r="D26">
        <v>272541203</v>
      </c>
      <c r="E26">
        <v>833052778</v>
      </c>
      <c r="F26">
        <v>5537837784</v>
      </c>
      <c r="G26">
        <v>1000000000</v>
      </c>
      <c r="H26">
        <f>IF(J26="Success", G26, NA())</f>
        <v>0</v>
      </c>
      <c r="I26">
        <f>IF(J26="Failure", G26, NA())</f>
        <v>0</v>
      </c>
      <c r="J26" t="s">
        <v>53</v>
      </c>
      <c r="K26">
        <v>3172398157.333333</v>
      </c>
    </row>
    <row r="27" spans="1:11">
      <c r="B27" t="s">
        <v>42</v>
      </c>
      <c r="C27">
        <v>30495116</v>
      </c>
      <c r="D27">
        <v>255634723</v>
      </c>
      <c r="E27">
        <v>8831478463</v>
      </c>
      <c r="F27">
        <v>2532948903</v>
      </c>
      <c r="G27">
        <v>3000000000</v>
      </c>
      <c r="H27">
        <f>IF(J27="Success", G27, NA())</f>
        <v>0</v>
      </c>
      <c r="I27">
        <f>IF(J27="Failure", G27, NA())</f>
        <v>0</v>
      </c>
      <c r="J27" t="s">
        <v>53</v>
      </c>
      <c r="K27">
        <v>2172398157.333333</v>
      </c>
    </row>
    <row r="28" spans="1:11">
      <c r="B28" t="s">
        <v>43</v>
      </c>
      <c r="C28">
        <v>8040103</v>
      </c>
      <c r="D28">
        <v>277915855</v>
      </c>
      <c r="E28">
        <v>9229006602</v>
      </c>
      <c r="F28">
        <v>8135594645</v>
      </c>
      <c r="G28">
        <v>3000000000</v>
      </c>
      <c r="H28">
        <f>IF(J28="Success", G28, NA())</f>
        <v>0</v>
      </c>
      <c r="I28">
        <f>IF(J28="Failure", G28, NA())</f>
        <v>0</v>
      </c>
      <c r="J28" t="s">
        <v>53</v>
      </c>
      <c r="K28">
        <v>2172398157.333333</v>
      </c>
    </row>
    <row r="29" spans="1:11">
      <c r="B29" t="s">
        <v>44</v>
      </c>
      <c r="C29">
        <v>28855683</v>
      </c>
      <c r="D29">
        <v>270749160</v>
      </c>
      <c r="E29">
        <v>1828652966</v>
      </c>
      <c r="F29">
        <v>21522299396</v>
      </c>
      <c r="G29">
        <v>3000000000</v>
      </c>
      <c r="H29">
        <f>IF(J29="Success", G29, NA())</f>
        <v>0</v>
      </c>
      <c r="I29">
        <f>IF(J29="Failure", G29, NA())</f>
        <v>0</v>
      </c>
      <c r="J29" t="s">
        <v>53</v>
      </c>
      <c r="K29">
        <v>2172398157.333333</v>
      </c>
    </row>
    <row r="30" spans="1:11">
      <c r="B30" t="s">
        <v>45</v>
      </c>
      <c r="C30">
        <v>32576020</v>
      </c>
      <c r="D30">
        <v>320364414</v>
      </c>
      <c r="E30">
        <v>3365426203</v>
      </c>
      <c r="F30">
        <v>25932190568</v>
      </c>
      <c r="G30">
        <v>3000000000</v>
      </c>
      <c r="H30">
        <f>IF(J30="Success", G30, NA())</f>
        <v>0</v>
      </c>
      <c r="I30">
        <f>IF(J30="Failure", G30, NA())</f>
        <v>0</v>
      </c>
      <c r="J30" t="s">
        <v>53</v>
      </c>
      <c r="K30">
        <v>2172398157.333333</v>
      </c>
    </row>
    <row r="31" spans="1:11">
      <c r="B31" t="s">
        <v>46</v>
      </c>
      <c r="C31">
        <v>33423934</v>
      </c>
      <c r="D31">
        <v>324551407</v>
      </c>
      <c r="E31">
        <v>5164290774</v>
      </c>
      <c r="F31">
        <v>30128291090</v>
      </c>
      <c r="G31">
        <v>2000000000</v>
      </c>
      <c r="H31">
        <f>IF(J31="Success", G31, NA())</f>
        <v>0</v>
      </c>
      <c r="I31">
        <f>IF(J31="Failure", G31, NA())</f>
        <v>0</v>
      </c>
      <c r="J31" t="s">
        <v>53</v>
      </c>
      <c r="K31">
        <v>2339064824</v>
      </c>
    </row>
    <row r="32" spans="1:11">
      <c r="A32" t="s">
        <v>16</v>
      </c>
      <c r="B32" t="s">
        <v>47</v>
      </c>
      <c r="C32">
        <v>32100234</v>
      </c>
      <c r="D32">
        <v>270900073</v>
      </c>
      <c r="E32">
        <v>696916191</v>
      </c>
      <c r="F32">
        <v>650640707</v>
      </c>
      <c r="G32">
        <v>5000000000</v>
      </c>
      <c r="H32">
        <f>IF(J32="Success", G32, NA())</f>
        <v>0</v>
      </c>
      <c r="I32">
        <f>IF(J32="Failure", G32, NA())</f>
        <v>0</v>
      </c>
      <c r="J32" t="s">
        <v>53</v>
      </c>
      <c r="K32">
        <v>2172398157.333333</v>
      </c>
    </row>
    <row r="33" spans="2:11">
      <c r="B33" t="s">
        <v>48</v>
      </c>
      <c r="C33">
        <v>26386965</v>
      </c>
      <c r="D33">
        <v>326411933</v>
      </c>
      <c r="E33">
        <v>7586858124</v>
      </c>
      <c r="F33">
        <v>1710900183</v>
      </c>
      <c r="G33">
        <v>4000000000</v>
      </c>
      <c r="H33">
        <f>IF(J33="Success", G33, NA())</f>
        <v>0</v>
      </c>
      <c r="I33">
        <f>IF(J33="Failure", G33, NA())</f>
        <v>0</v>
      </c>
      <c r="J33" t="s">
        <v>53</v>
      </c>
      <c r="K33">
        <v>3172398157.333333</v>
      </c>
    </row>
    <row r="34" spans="2:11">
      <c r="B34" t="s">
        <v>49</v>
      </c>
      <c r="C34">
        <v>14220094</v>
      </c>
      <c r="D34">
        <v>1667280317</v>
      </c>
      <c r="E34">
        <v>10441970477</v>
      </c>
      <c r="F34">
        <v>5527086317</v>
      </c>
      <c r="G34">
        <v>2000000000</v>
      </c>
      <c r="H34">
        <f>IF(J34="Success", G34, NA())</f>
        <v>0</v>
      </c>
      <c r="I34">
        <f>IF(J34="Failure", G34, NA())</f>
        <v>0</v>
      </c>
      <c r="J34" t="s">
        <v>53</v>
      </c>
      <c r="K34">
        <v>2172398157.333333</v>
      </c>
    </row>
    <row r="35" spans="2:11">
      <c r="B35" t="s">
        <v>50</v>
      </c>
      <c r="C35">
        <v>7125726</v>
      </c>
      <c r="D35">
        <v>347719234</v>
      </c>
      <c r="E35">
        <v>8364800380</v>
      </c>
      <c r="F35">
        <v>13930911865</v>
      </c>
      <c r="G35">
        <v>3000000000</v>
      </c>
      <c r="H35">
        <f>IF(J35="Success", G35, NA())</f>
        <v>0</v>
      </c>
      <c r="I35">
        <f>IF(J35="Failure", G35, NA())</f>
        <v>0</v>
      </c>
      <c r="J35" t="s">
        <v>53</v>
      </c>
      <c r="K35">
        <v>2172398157.333333</v>
      </c>
    </row>
    <row r="36" spans="2:11">
      <c r="B36" t="s">
        <v>51</v>
      </c>
      <c r="C36">
        <v>49097505</v>
      </c>
      <c r="D36">
        <v>275507535</v>
      </c>
      <c r="E36">
        <v>2795787334</v>
      </c>
      <c r="F36">
        <v>25530164831</v>
      </c>
      <c r="G36">
        <v>3000000000</v>
      </c>
      <c r="H36">
        <f>IF(J36="Success", G36, NA())</f>
        <v>0</v>
      </c>
      <c r="I36">
        <f>IF(J36="Failure", G36, NA())</f>
        <v>0</v>
      </c>
      <c r="J36" t="s">
        <v>53</v>
      </c>
      <c r="K36">
        <v>2172398157.333333</v>
      </c>
    </row>
    <row r="37" spans="2:11">
      <c r="B37" t="s">
        <v>52</v>
      </c>
      <c r="C37">
        <v>398565</v>
      </c>
      <c r="D37">
        <v>342573027</v>
      </c>
      <c r="E37">
        <v>4784984259</v>
      </c>
      <c r="F37">
        <v>29522601354</v>
      </c>
      <c r="G37">
        <v>5000000000</v>
      </c>
      <c r="H37">
        <f>IF(J37="Success", G37, NA())</f>
        <v>0</v>
      </c>
      <c r="I37">
        <f>IF(J37="Failure", G37, NA())</f>
        <v>0</v>
      </c>
      <c r="J37" t="s">
        <v>53</v>
      </c>
      <c r="K37">
        <v>2372398157.333333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2026-05-31T00:05:03Z</dcterms:created>
  <dcterms:modified xsi:type="dcterms:W3CDTF">2026-05-31T00:05:03Z</dcterms:modified>
</cp:coreProperties>
</file>