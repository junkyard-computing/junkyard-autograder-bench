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tamps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<sst xmlns="http://schemas.openxmlformats.org/spreadsheetml/2006/main" count="39" uniqueCount="28">
  <si>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Node</t>
  </si>
  <si>
    <t>Job</t>
  </si>
  <si>
    <t>gradescope start</t>
  </si>
  <si>
    <t>gradescope duration</t>
  </si>
  <si>
    <t>junkyard duration</t>
  </si>
  <si>
    <t>waiting t.b. scheduled duration</t>
  </si>
  <si>
    <t>pod duration</t>
  </si>
  <si>
    <t>pod success duration</t>
  </si>
  <si>
    <t>pod failure duration</t>
  </si>
  <si>
    <t>Status</t>
  </si>
  <si>
    <t>node waiting for availability</t>
  </si>
  <si>
    <t>pf-026</t>
  </si>
  <si>
    <t>pf-027</t>
  </si>
  <si>
    <t>pf-028</t>
  </si>
  <si>
    <t>pf-029</t>
  </si>
  <si>
    <t>2s_4</t>
  </si>
  <si>
    <t>4s_3</t>
  </si>
  <si>
    <t>4s_1</t>
  </si>
  <si>
    <t>1s_4</t>
  </si>
  <si>
    <t>1s_3</t>
  </si>
  <si>
    <t>2s_1</t>
  </si>
  <si>
    <t>4s_2</t>
  </si>
  <si>
    <t>2s_2</t>
  </si>
  <si>
    <t>1s_1</t>
  </si>
  <si>
    <t>2s_3</t>
  </si>
  <si>
    <t>4s_4</t>
  </si>
  <si>
    <t>1s_2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</si>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</sst>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aseline="0"/>
            </a:pPr>
            <a:r>
              <a:rPr lang="en-US" sz="2000" baseline="0"/>
              <a:t>12 jobs running across 4 nodes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Timestamps!$C$1</c:f>
              <c:strCache>
                <c:ptCount val="1"/>
                <c:pt idx="0">
                  <c:v>gradescope start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Timestamps!$A$2:$B$13</c:f>
            </c:numRef>
          </c:cat>
          <c:val>
            <c:numRef>
              <c:f>Timestamps!$C$2:$C$13</c:f>
              <c:numCache>
                <c:formatCode>General</c:formatCode>
                <c:ptCount val="12"/>
                <c:pt idx="0">
                  <c:v>1382718</c:v>
                </c:pt>
                <c:pt idx="1">
                  <c:v>13040834</c:v>
                </c:pt>
                <c:pt idx="2">
                  <c:v>275424</c:v>
                </c:pt>
                <c:pt idx="3">
                  <c:v>4715989</c:v>
                </c:pt>
                <c:pt idx="4">
                  <c:v>6346976</c:v>
                </c:pt>
                <c:pt idx="5">
                  <c:v>2820830</c:v>
                </c:pt>
                <c:pt idx="6">
                  <c:v>5209230</c:v>
                </c:pt>
                <c:pt idx="7">
                  <c:v>3445299</c:v>
                </c:pt>
                <c:pt idx="8">
                  <c:v>0</c:v>
                </c:pt>
                <c:pt idx="9">
                  <c:v>7672403</c:v>
                </c:pt>
                <c:pt idx="10">
                  <c:v>8816403</c:v>
                </c:pt>
                <c:pt idx="11">
                  <c:v>3249291</c:v>
                </c:pt>
              </c:numCache>
            </c:numRef>
          </c:val>
        </c:ser>
        <c:ser>
          <c:idx val="1"/>
          <c:order val="1"/>
          <c:tx>
            <c:strRef>
              <c:f>Timestamps!$D$1</c:f>
              <c:strCache>
                <c:ptCount val="1"/>
                <c:pt idx="0">
                  <c:v>gradescope duration</c:v>
                </c:pt>
              </c:strCache>
            </c:strRef>
          </c:tx>
          <c:spPr>
            <a:solidFill>
              <a:srgbClr val="C0504D"/>
            </a:solidFill>
          </c:spPr>
          <c:cat>
            <c:numRef>
              <c:f>Timestamps!$A$2:$B$13</c:f>
            </c:numRef>
          </c:cat>
          <c:val>
            <c:numRef>
              <c:f>Timestamps!$D$2:$D$13</c:f>
              <c:numCache>
                <c:formatCode>General</c:formatCode>
                <c:ptCount val="12"/>
                <c:pt idx="0">
                  <c:v>194826033</c:v>
                </c:pt>
                <c:pt idx="1">
                  <c:v>177080609</c:v>
                </c:pt>
                <c:pt idx="2">
                  <c:v>200438279</c:v>
                </c:pt>
                <c:pt idx="3">
                  <c:v>153639764</c:v>
                </c:pt>
                <c:pt idx="4">
                  <c:v>183514321</c:v>
                </c:pt>
                <c:pt idx="5">
                  <c:v>176800021</c:v>
                </c:pt>
                <c:pt idx="6">
                  <c:v>185820211</c:v>
                </c:pt>
                <c:pt idx="7">
                  <c:v>157324240</c:v>
                </c:pt>
                <c:pt idx="8">
                  <c:v>179747334</c:v>
                </c:pt>
                <c:pt idx="9">
                  <c:v>151109220</c:v>
                </c:pt>
                <c:pt idx="10">
                  <c:v>179798006</c:v>
                </c:pt>
                <c:pt idx="11">
                  <c:v>185777821</c:v>
                </c:pt>
              </c:numCache>
            </c:numRef>
          </c:val>
        </c:ser>
        <c:ser>
          <c:idx val="2"/>
          <c:order val="2"/>
          <c:tx>
            <c:strRef>
              <c:f>Timestamps!$E$1</c:f>
              <c:strCache>
                <c:ptCount val="1"/>
                <c:pt idx="0">
                  <c:v>junkyard duration</c:v>
                </c:pt>
              </c:strCache>
            </c:strRef>
          </c:tx>
          <c:spPr>
            <a:solidFill>
              <a:srgbClr val="9BBB59"/>
            </a:solidFill>
          </c:spPr>
          <c:cat>
            <c:numRef>
              <c:f>Timestamps!$A$2:$B$13</c:f>
            </c:numRef>
          </c:cat>
          <c:val>
            <c:numRef>
              <c:f>Timestamps!$E$2:$E$13</c:f>
              <c:numCache>
                <c:formatCode>General</c:formatCode>
                <c:ptCount val="12"/>
                <c:pt idx="0">
                  <c:v>872978702</c:v>
                </c:pt>
                <c:pt idx="1">
                  <c:v>899219581</c:v>
                </c:pt>
                <c:pt idx="2">
                  <c:v>3240211296</c:v>
                </c:pt>
                <c:pt idx="3">
                  <c:v>913724008</c:v>
                </c:pt>
                <c:pt idx="4">
                  <c:v>882643821</c:v>
                </c:pt>
                <c:pt idx="5">
                  <c:v>916074876</c:v>
                </c:pt>
                <c:pt idx="6">
                  <c:v>878595931</c:v>
                </c:pt>
                <c:pt idx="7">
                  <c:v>928481067</c:v>
                </c:pt>
                <c:pt idx="8">
                  <c:v>3115118695</c:v>
                </c:pt>
                <c:pt idx="9">
                  <c:v>930812472</c:v>
                </c:pt>
                <c:pt idx="10">
                  <c:v>900614051</c:v>
                </c:pt>
                <c:pt idx="11">
                  <c:v>910074904</c:v>
                </c:pt>
              </c:numCache>
            </c:numRef>
          </c:val>
        </c:ser>
        <c:ser>
          <c:idx val="3"/>
          <c:order val="3"/>
          <c:tx>
            <c:strRef>
              <c:f>Timestamps!$F$1</c:f>
              <c:strCache>
                <c:ptCount val="1"/>
                <c:pt idx="0">
                  <c:v>waiting t.b. scheduled duration</c:v>
                </c:pt>
              </c:strCache>
            </c:strRef>
          </c:tx>
          <c:spPr>
            <a:solidFill>
              <a:srgbClr val="8064A2"/>
            </a:solidFill>
          </c:spPr>
          <c:cat>
            <c:numRef>
              <c:f>Timestamps!$A$2:$B$13</c:f>
            </c:numRef>
          </c:cat>
          <c:val>
            <c:numRef>
              <c:f>Timestamps!$F$2:$F$13</c:f>
              <c:numCache>
                <c:formatCode>General</c:formatCode>
                <c:ptCount val="12"/>
                <c:pt idx="0">
                  <c:v>597452728</c:v>
                </c:pt>
                <c:pt idx="1">
                  <c:v>7577299157</c:v>
                </c:pt>
                <c:pt idx="2">
                  <c:v>13225715182</c:v>
                </c:pt>
                <c:pt idx="3">
                  <c:v>594560420</c:v>
                </c:pt>
                <c:pt idx="4">
                  <c:v>5594135063</c:v>
                </c:pt>
                <c:pt idx="5">
                  <c:v>10570944454</c:v>
                </c:pt>
                <c:pt idx="6">
                  <c:v>597014809</c:v>
                </c:pt>
                <c:pt idx="7">
                  <c:v>8577389575</c:v>
                </c:pt>
                <c:pt idx="8">
                  <c:v>12371774152</c:v>
                </c:pt>
                <c:pt idx="9">
                  <c:v>577046086</c:v>
                </c:pt>
                <c:pt idx="10">
                  <c:v>6577411721</c:v>
                </c:pt>
                <c:pt idx="11">
                  <c:v>14567538165</c:v>
                </c:pt>
              </c:numCache>
            </c:numRef>
          </c:val>
        </c:ser>
        <c:ser>
          <c:idx val="4"/>
          <c:order val="4"/>
          <c:tx>
            <c:strRef>
              <c:f>Timestamps!$H$1</c:f>
              <c:strCache>
                <c:ptCount val="1"/>
                <c:pt idx="0">
                  <c:v>pod success duration</c:v>
                </c:pt>
              </c:strCache>
            </c:strRef>
          </c:tx>
          <c:spPr>
            <a:solidFill>
              <a:srgbClr val="4BACC6"/>
            </a:solidFill>
          </c:spPr>
          <c:cat>
            <c:numRef>
              <c:f>Timestamps!$A$2:$B$13</c:f>
            </c:numRef>
          </c:cat>
          <c:val>
            <c:numRef>
              <c:f>Timestamps!$H$2:$H$13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Timestamps!$I$1</c:f>
              <c:strCache>
                <c:ptCount val="1"/>
                <c:pt idx="0">
                  <c:v>pod failure duration</c:v>
                </c:pt>
              </c:strCache>
            </c:strRef>
          </c:tx>
          <c:spPr>
            <a:solidFill>
              <a:srgbClr val="F79646"/>
            </a:solidFill>
          </c:spPr>
          <c:cat>
            <c:numRef>
              <c:f>Timestamps!$A$2:$B$13</c:f>
            </c:numRef>
          </c:cat>
          <c:val>
            <c:numRef>
              <c:f>Timestamps!$I$2:$I$13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Timestamps!$K$1</c:f>
              <c:strCache>
                <c:ptCount val="1"/>
                <c:pt idx="0">
                  <c:v>node waiting for availability</c:v>
                </c:pt>
              </c:strCache>
            </c:strRef>
          </c:tx>
          <c:spPr>
            <a:solidFill>
              <a:srgbClr val="1F497D"/>
            </a:solidFill>
          </c:spPr>
          <c:cat>
            <c:numRef>
              <c:f>Timestamps!$A$2:$B$13</c:f>
            </c:numRef>
          </c:cat>
          <c:val>
            <c:numRef>
              <c:f>Timestamps!$K$2:$K$13</c:f>
              <c:numCache>
                <c:formatCode>General</c:formatCode>
                <c:ptCount val="12"/>
                <c:pt idx="0">
                  <c:v>3408481489.25</c:v>
                </c:pt>
                <c:pt idx="1">
                  <c:v>2408481489.25</c:v>
                </c:pt>
                <c:pt idx="2">
                  <c:v>2908481489.25</c:v>
                </c:pt>
                <c:pt idx="3">
                  <c:v>2408481489.25</c:v>
                </c:pt>
                <c:pt idx="4">
                  <c:v>2408481489.25</c:v>
                </c:pt>
                <c:pt idx="5">
                  <c:v>2408481489.25</c:v>
                </c:pt>
                <c:pt idx="6">
                  <c:v>2408481489.25</c:v>
                </c:pt>
                <c:pt idx="7">
                  <c:v>2408481489.25</c:v>
                </c:pt>
                <c:pt idx="8">
                  <c:v>2408481489.25</c:v>
                </c:pt>
                <c:pt idx="9">
                  <c:v>2408481489.25</c:v>
                </c:pt>
                <c:pt idx="10">
                  <c:v>2408481489.25</c:v>
                </c:pt>
                <c:pt idx="11">
                  <c:v>2408481489.25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Node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(nanoseconds)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16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37</xdr:col>
      <xdr:colOff>0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1382718</v>
      </c>
      <c r="D2">
        <v>194826033</v>
      </c>
      <c r="E2">
        <v>872978702</v>
      </c>
      <c r="F2">
        <v>597452728</v>
      </c>
      <c r="G2">
        <v>3000000000</v>
      </c>
      <c r="H2">
        <f>IF(J2="Success", G2, NA())</f>
        <v>0</v>
      </c>
      <c r="I2">
        <f>IF(J2="Failure", G2, NA())</f>
        <v>0</v>
      </c>
      <c r="J2" t="s">
        <v>27</v>
      </c>
      <c r="K2">
        <v>3408481489.25</v>
      </c>
    </row>
    <row r="3" spans="1:11">
      <c r="B3" t="s">
        <v>16</v>
      </c>
      <c r="C3">
        <v>13040834</v>
      </c>
      <c r="D3">
        <v>177080609</v>
      </c>
      <c r="E3">
        <v>899219581</v>
      </c>
      <c r="F3">
        <v>7577299157</v>
      </c>
      <c r="G3">
        <v>5000000000</v>
      </c>
      <c r="H3">
        <f>IF(J3="Success", G3, NA())</f>
        <v>0</v>
      </c>
      <c r="I3">
        <f>IF(J3="Failure", G3, NA())</f>
        <v>0</v>
      </c>
      <c r="J3" t="s">
        <v>27</v>
      </c>
      <c r="K3">
        <v>2408481489.25</v>
      </c>
    </row>
    <row r="4" spans="1:11">
      <c r="B4" t="s">
        <v>17</v>
      </c>
      <c r="C4">
        <v>275424</v>
      </c>
      <c r="D4">
        <v>200438279</v>
      </c>
      <c r="E4">
        <v>3240211296</v>
      </c>
      <c r="F4">
        <v>13225715182</v>
      </c>
      <c r="G4">
        <v>5000000000</v>
      </c>
      <c r="H4">
        <f>IF(J4="Success", G4, NA())</f>
        <v>0</v>
      </c>
      <c r="I4">
        <f>IF(J4="Failure", G4, NA())</f>
        <v>0</v>
      </c>
      <c r="J4" t="s">
        <v>27</v>
      </c>
      <c r="K4">
        <v>2908481489.25</v>
      </c>
    </row>
    <row r="5" spans="1:11">
      <c r="A5" t="s">
        <v>12</v>
      </c>
      <c r="B5" t="s">
        <v>18</v>
      </c>
      <c r="C5">
        <v>4715989</v>
      </c>
      <c r="D5">
        <v>153639764</v>
      </c>
      <c r="E5">
        <v>913724008</v>
      </c>
      <c r="F5">
        <v>594560420</v>
      </c>
      <c r="G5">
        <v>2000000000</v>
      </c>
      <c r="H5">
        <f>IF(J5="Success", G5, NA())</f>
        <v>0</v>
      </c>
      <c r="I5">
        <f>IF(J5="Failure", G5, NA())</f>
        <v>0</v>
      </c>
      <c r="J5" t="s">
        <v>27</v>
      </c>
      <c r="K5">
        <v>2408481489.25</v>
      </c>
    </row>
    <row r="6" spans="1:11">
      <c r="B6" t="s">
        <v>19</v>
      </c>
      <c r="C6">
        <v>6346976</v>
      </c>
      <c r="D6">
        <v>183514321</v>
      </c>
      <c r="E6">
        <v>882643821</v>
      </c>
      <c r="F6">
        <v>5594135063</v>
      </c>
      <c r="G6">
        <v>2000000000</v>
      </c>
      <c r="H6">
        <f>IF(J6="Success", G6, NA())</f>
        <v>0</v>
      </c>
      <c r="I6">
        <f>IF(J6="Failure", G6, NA())</f>
        <v>0</v>
      </c>
      <c r="J6" t="s">
        <v>27</v>
      </c>
      <c r="K6">
        <v>2408481489.25</v>
      </c>
    </row>
    <row r="7" spans="1:11">
      <c r="B7" t="s">
        <v>20</v>
      </c>
      <c r="C7">
        <v>2820830</v>
      </c>
      <c r="D7">
        <v>176800021</v>
      </c>
      <c r="E7">
        <v>916074876</v>
      </c>
      <c r="F7">
        <v>10570944454</v>
      </c>
      <c r="G7">
        <v>3000000000</v>
      </c>
      <c r="H7">
        <f>IF(J7="Success", G7, NA())</f>
        <v>0</v>
      </c>
      <c r="I7">
        <f>IF(J7="Failure", G7, NA())</f>
        <v>0</v>
      </c>
      <c r="J7" t="s">
        <v>27</v>
      </c>
      <c r="K7">
        <v>2408481489.25</v>
      </c>
    </row>
    <row r="8" spans="1:11">
      <c r="A8" t="s">
        <v>13</v>
      </c>
      <c r="B8" t="s">
        <v>21</v>
      </c>
      <c r="C8">
        <v>5209230</v>
      </c>
      <c r="D8">
        <v>185820211</v>
      </c>
      <c r="E8">
        <v>878595931</v>
      </c>
      <c r="F8">
        <v>597014809</v>
      </c>
      <c r="G8">
        <v>5000000000</v>
      </c>
      <c r="H8">
        <f>IF(J8="Success", G8, NA())</f>
        <v>0</v>
      </c>
      <c r="I8">
        <f>IF(J8="Failure", G8, NA())</f>
        <v>0</v>
      </c>
      <c r="J8" t="s">
        <v>27</v>
      </c>
      <c r="K8">
        <v>2408481489.25</v>
      </c>
    </row>
    <row r="9" spans="1:11">
      <c r="B9" t="s">
        <v>22</v>
      </c>
      <c r="C9">
        <v>3445299</v>
      </c>
      <c r="D9">
        <v>157324240</v>
      </c>
      <c r="E9">
        <v>928481067</v>
      </c>
      <c r="F9">
        <v>8577389575</v>
      </c>
      <c r="G9">
        <v>3000000000</v>
      </c>
      <c r="H9">
        <f>IF(J9="Success", G9, NA())</f>
        <v>0</v>
      </c>
      <c r="I9">
        <f>IF(J9="Failure", G9, NA())</f>
        <v>0</v>
      </c>
      <c r="J9" t="s">
        <v>27</v>
      </c>
      <c r="K9">
        <v>2408481489.25</v>
      </c>
    </row>
    <row r="10" spans="1:11">
      <c r="B10" t="s">
        <v>23</v>
      </c>
      <c r="C10">
        <v>0</v>
      </c>
      <c r="D10">
        <v>179747334</v>
      </c>
      <c r="E10">
        <v>3115118695</v>
      </c>
      <c r="F10">
        <v>12371774152</v>
      </c>
      <c r="G10">
        <v>2000000000</v>
      </c>
      <c r="H10">
        <f>IF(J10="Success", G10, NA())</f>
        <v>0</v>
      </c>
      <c r="I10">
        <f>IF(J10="Failure", G10, NA())</f>
        <v>0</v>
      </c>
      <c r="J10" t="s">
        <v>27</v>
      </c>
      <c r="K10">
        <v>2408481489.25</v>
      </c>
    </row>
    <row r="11" spans="1:11">
      <c r="A11" t="s">
        <v>14</v>
      </c>
      <c r="B11" t="s">
        <v>24</v>
      </c>
      <c r="C11">
        <v>7672403</v>
      </c>
      <c r="D11">
        <v>151109220</v>
      </c>
      <c r="E11">
        <v>930812472</v>
      </c>
      <c r="F11">
        <v>577046086</v>
      </c>
      <c r="G11">
        <v>3000000000</v>
      </c>
      <c r="H11">
        <f>IF(J11="Success", G11, NA())</f>
        <v>0</v>
      </c>
      <c r="I11">
        <f>IF(J11="Failure", G11, NA())</f>
        <v>0</v>
      </c>
      <c r="J11" t="s">
        <v>27</v>
      </c>
      <c r="K11">
        <v>2408481489.25</v>
      </c>
    </row>
    <row r="12" spans="1:11">
      <c r="B12" t="s">
        <v>25</v>
      </c>
      <c r="C12">
        <v>8816403</v>
      </c>
      <c r="D12">
        <v>179798006</v>
      </c>
      <c r="E12">
        <v>900614051</v>
      </c>
      <c r="F12">
        <v>6577411721</v>
      </c>
      <c r="G12">
        <v>5000000000</v>
      </c>
      <c r="H12">
        <f>IF(J12="Success", G12, NA())</f>
        <v>0</v>
      </c>
      <c r="I12">
        <f>IF(J12="Failure", G12, NA())</f>
        <v>0</v>
      </c>
      <c r="J12" t="s">
        <v>27</v>
      </c>
      <c r="K12">
        <v>2408481489.25</v>
      </c>
    </row>
    <row r="13" spans="1:11">
      <c r="B13" t="s">
        <v>26</v>
      </c>
      <c r="C13">
        <v>3249291</v>
      </c>
      <c r="D13">
        <v>185777821</v>
      </c>
      <c r="E13">
        <v>910074904</v>
      </c>
      <c r="F13">
        <v>14567538165</v>
      </c>
      <c r="G13">
        <v>2000000000</v>
      </c>
      <c r="H13">
        <f>IF(J13="Success", G13, NA())</f>
        <v>0</v>
      </c>
      <c r="I13">
        <f>IF(J13="Failure", G13, NA())</f>
        <v>0</v>
      </c>
      <c r="J13" t="s">
        <v>27</v>
      </c>
      <c r="K13">
        <v>2408481489.25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2026-05-31T00:25:35Z</dcterms:created>
  <dcterms:modified xsi:type="dcterms:W3CDTF">2026-05-31T00:25:35Z</dcterms:modified>
</cp:coreProperties>
</file>