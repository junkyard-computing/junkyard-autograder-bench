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tamps" sheetId="1" r:id="rId1"/>
  </sheets>
  <calcPr calcId="124519" fullCalcOnLoad="1"/>
</workbook>
</file>

<file path=xl/sharedStrings.xml><?xml version="1.0" encoding="utf-8"?>
<sst xmlns="http://schemas.openxmlformats.org/spreadsheetml/2006/main" count="87" uniqueCount="52">
  <si>
    <t>Node</t>
  </si>
  <si>
    <t>Job</t>
  </si>
  <si>
    <t>gradescope start</t>
  </si>
  <si>
    <t>gradescope duration</t>
  </si>
  <si>
    <t>junkyard duration</t>
  </si>
  <si>
    <t>waiting t.b. scheduled duration</t>
  </si>
  <si>
    <t>pod duration</t>
  </si>
  <si>
    <t>pod success duration</t>
  </si>
  <si>
    <t>pod failure duration</t>
  </si>
  <si>
    <t>Status</t>
  </si>
  <si>
    <t>node waiting for availability</t>
  </si>
  <si>
    <t>pf-026</t>
  </si>
  <si>
    <t>pf-027</t>
  </si>
  <si>
    <t>pf-028</t>
  </si>
  <si>
    <t>pf-029</t>
  </si>
  <si>
    <t>4s_2</t>
  </si>
  <si>
    <t>2s_10</t>
  </si>
  <si>
    <t>4s_7</t>
  </si>
  <si>
    <t>2s_7</t>
  </si>
  <si>
    <t>2s_6</t>
  </si>
  <si>
    <t>4s_6</t>
  </si>
  <si>
    <t>4s_5</t>
  </si>
  <si>
    <t>2s_4</t>
  </si>
  <si>
    <t>1s_3</t>
  </si>
  <si>
    <t>4s_9</t>
  </si>
  <si>
    <t>2s_11</t>
  </si>
  <si>
    <t>2s_3</t>
  </si>
  <si>
    <t>1s_11</t>
  </si>
  <si>
    <t>2s_12</t>
  </si>
  <si>
    <t>1s_7</t>
  </si>
  <si>
    <t>4s_11</t>
  </si>
  <si>
    <t>4s_1</t>
  </si>
  <si>
    <t>1s_12</t>
  </si>
  <si>
    <t>1s_5</t>
  </si>
  <si>
    <t>4s_8</t>
  </si>
  <si>
    <t>4s_3</t>
  </si>
  <si>
    <t>2s_8</t>
  </si>
  <si>
    <t>1s_6</t>
  </si>
  <si>
    <t>2s_1</t>
  </si>
  <si>
    <t>1s_1</t>
  </si>
  <si>
    <t>4s_4</t>
  </si>
  <si>
    <t>4s_10</t>
  </si>
  <si>
    <t>4s_12</t>
  </si>
  <si>
    <t>1s_4</t>
  </si>
  <si>
    <t>2s_9</t>
  </si>
  <si>
    <t>1s_10</t>
  </si>
  <si>
    <t>1s_2</t>
  </si>
  <si>
    <t>1s_9</t>
  </si>
  <si>
    <t>2s_2</t>
  </si>
  <si>
    <t>1s_8</t>
  </si>
  <si>
    <t>2s_5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</si>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</sst>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aseline="0"/>
            </a:pPr>
            <a:r>
              <a:rPr lang="en-US" sz="2000" baseline="0"/>
              <a:t>36 jobs running across 4 nodes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Timestamps!$C$1</c:f>
              <c:strCache>
                <c:ptCount val="1"/>
                <c:pt idx="0">
                  <c:v>gradescope start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Timestamps!$A$2:$B$37</c:f>
            </c:numRef>
          </c:cat>
          <c:val>
            <c:numRef>
              <c:f>Timestamps!$C$2:$C$37</c:f>
              <c:numCache>
                <c:formatCode>General</c:formatCode>
                <c:ptCount val="36"/>
                <c:pt idx="0">
                  <c:v>32793840</c:v>
                </c:pt>
                <c:pt idx="1">
                  <c:v>58521115</c:v>
                </c:pt>
                <c:pt idx="2">
                  <c:v>13725320</c:v>
                </c:pt>
                <c:pt idx="3">
                  <c:v>71214341</c:v>
                </c:pt>
                <c:pt idx="4">
                  <c:v>80093407</c:v>
                </c:pt>
                <c:pt idx="5">
                  <c:v>31103898</c:v>
                </c:pt>
                <c:pt idx="6">
                  <c:v>70740726</c:v>
                </c:pt>
                <c:pt idx="7">
                  <c:v>79954940</c:v>
                </c:pt>
                <c:pt idx="8">
                  <c:v>8663375</c:v>
                </c:pt>
                <c:pt idx="9">
                  <c:v>68700586</c:v>
                </c:pt>
                <c:pt idx="10">
                  <c:v>60109098</c:v>
                </c:pt>
                <c:pt idx="11">
                  <c:v>108195789</c:v>
                </c:pt>
                <c:pt idx="12">
                  <c:v>76247475</c:v>
                </c:pt>
                <c:pt idx="13">
                  <c:v>67823411</c:v>
                </c:pt>
                <c:pt idx="14">
                  <c:v>42885743</c:v>
                </c:pt>
                <c:pt idx="15">
                  <c:v>85723640</c:v>
                </c:pt>
                <c:pt idx="16">
                  <c:v>13276071</c:v>
                </c:pt>
                <c:pt idx="17">
                  <c:v>41757526</c:v>
                </c:pt>
                <c:pt idx="18">
                  <c:v>19313505</c:v>
                </c:pt>
                <c:pt idx="19">
                  <c:v>44657679</c:v>
                </c:pt>
                <c:pt idx="20">
                  <c:v>92399710</c:v>
                </c:pt>
                <c:pt idx="21">
                  <c:v>44146819</c:v>
                </c:pt>
                <c:pt idx="22">
                  <c:v>15681059</c:v>
                </c:pt>
                <c:pt idx="23">
                  <c:v>33347753</c:v>
                </c:pt>
                <c:pt idx="24">
                  <c:v>91547674</c:v>
                </c:pt>
                <c:pt idx="25">
                  <c:v>29814899</c:v>
                </c:pt>
                <c:pt idx="26">
                  <c:v>39682412</c:v>
                </c:pt>
                <c:pt idx="27">
                  <c:v>83216944</c:v>
                </c:pt>
                <c:pt idx="28">
                  <c:v>45729152</c:v>
                </c:pt>
                <c:pt idx="29">
                  <c:v>104985791</c:v>
                </c:pt>
                <c:pt idx="30">
                  <c:v>24002942</c:v>
                </c:pt>
                <c:pt idx="31">
                  <c:v>0</c:v>
                </c:pt>
                <c:pt idx="32">
                  <c:v>59652866</c:v>
                </c:pt>
                <c:pt idx="33">
                  <c:v>80973238</c:v>
                </c:pt>
                <c:pt idx="34">
                  <c:v>59042041</c:v>
                </c:pt>
                <c:pt idx="35">
                  <c:v>75971388</c:v>
                </c:pt>
              </c:numCache>
            </c:numRef>
          </c:val>
        </c:ser>
        <c:ser>
          <c:idx val="1"/>
          <c:order val="1"/>
          <c:tx>
            <c:strRef>
              <c:f>Timestamps!$D$1</c:f>
              <c:strCache>
                <c:ptCount val="1"/>
                <c:pt idx="0">
                  <c:v>gradescope duration</c:v>
                </c:pt>
              </c:strCache>
            </c:strRef>
          </c:tx>
          <c:spPr>
            <a:solidFill>
              <a:srgbClr val="C0504D"/>
            </a:solidFill>
          </c:spPr>
          <c:cat>
            <c:numRef>
              <c:f>Timestamps!$A$2:$B$37</c:f>
            </c:numRef>
          </c:cat>
          <c:val>
            <c:numRef>
              <c:f>Timestamps!$D$2:$D$37</c:f>
              <c:numCache>
                <c:formatCode>General</c:formatCode>
                <c:ptCount val="36"/>
                <c:pt idx="0">
                  <c:v>408077387</c:v>
                </c:pt>
                <c:pt idx="1">
                  <c:v>447887832</c:v>
                </c:pt>
                <c:pt idx="2">
                  <c:v>1035475575</c:v>
                </c:pt>
                <c:pt idx="3">
                  <c:v>976855700</c:v>
                </c:pt>
                <c:pt idx="4">
                  <c:v>377559842</c:v>
                </c:pt>
                <c:pt idx="5">
                  <c:v>409668138</c:v>
                </c:pt>
                <c:pt idx="6">
                  <c:v>388666157</c:v>
                </c:pt>
                <c:pt idx="7">
                  <c:v>390158742</c:v>
                </c:pt>
                <c:pt idx="8">
                  <c:v>355087975</c:v>
                </c:pt>
                <c:pt idx="9">
                  <c:v>349609306</c:v>
                </c:pt>
                <c:pt idx="10">
                  <c:v>990374895</c:v>
                </c:pt>
                <c:pt idx="11">
                  <c:v>871054421</c:v>
                </c:pt>
                <c:pt idx="12">
                  <c:v>962588980</c:v>
                </c:pt>
                <c:pt idx="13">
                  <c:v>306973078</c:v>
                </c:pt>
                <c:pt idx="14">
                  <c:v>410039277</c:v>
                </c:pt>
                <c:pt idx="15">
                  <c:v>361959612</c:v>
                </c:pt>
                <c:pt idx="16">
                  <c:v>441182362</c:v>
                </c:pt>
                <c:pt idx="17">
                  <c:v>322145521</c:v>
                </c:pt>
                <c:pt idx="18">
                  <c:v>449696404</c:v>
                </c:pt>
                <c:pt idx="19">
                  <c:v>329909555</c:v>
                </c:pt>
                <c:pt idx="20">
                  <c:v>325912085</c:v>
                </c:pt>
                <c:pt idx="21">
                  <c:v>420500997</c:v>
                </c:pt>
                <c:pt idx="22">
                  <c:v>443645584</c:v>
                </c:pt>
                <c:pt idx="23">
                  <c:v>420420636</c:v>
                </c:pt>
                <c:pt idx="24">
                  <c:v>380508394</c:v>
                </c:pt>
                <c:pt idx="25">
                  <c:v>422988395</c:v>
                </c:pt>
                <c:pt idx="26">
                  <c:v>324538662</c:v>
                </c:pt>
                <c:pt idx="27">
                  <c:v>423261411</c:v>
                </c:pt>
                <c:pt idx="28">
                  <c:v>372132350</c:v>
                </c:pt>
                <c:pt idx="29">
                  <c:v>933535849</c:v>
                </c:pt>
                <c:pt idx="30">
                  <c:v>445866953</c:v>
                </c:pt>
                <c:pt idx="31">
                  <c:v>440604728</c:v>
                </c:pt>
                <c:pt idx="32">
                  <c:v>401051024</c:v>
                </c:pt>
                <c:pt idx="33">
                  <c:v>371712257</c:v>
                </c:pt>
                <c:pt idx="34">
                  <c:v>395512486</c:v>
                </c:pt>
                <c:pt idx="35">
                  <c:v>377764274</c:v>
                </c:pt>
              </c:numCache>
            </c:numRef>
          </c:val>
        </c:ser>
        <c:ser>
          <c:idx val="2"/>
          <c:order val="2"/>
          <c:tx>
            <c:strRef>
              <c:f>Timestamps!$E$1</c:f>
              <c:strCache>
                <c:ptCount val="1"/>
                <c:pt idx="0">
                  <c:v>junkyard duration</c:v>
                </c:pt>
              </c:strCache>
            </c:strRef>
          </c:tx>
          <c:spPr>
            <a:solidFill>
              <a:srgbClr val="9BBB59"/>
            </a:solidFill>
          </c:spPr>
          <c:cat>
            <c:numRef>
              <c:f>Timestamps!$A$2:$B$37</c:f>
            </c:numRef>
          </c:cat>
          <c:val>
            <c:numRef>
              <c:f>Timestamps!$E$2:$E$37</c:f>
              <c:numCache>
                <c:formatCode>General</c:formatCode>
                <c:ptCount val="36"/>
                <c:pt idx="0">
                  <c:v>570028817</c:v>
                </c:pt>
                <c:pt idx="1">
                  <c:v>6470053852</c:v>
                </c:pt>
                <c:pt idx="2">
                  <c:v>11067828498</c:v>
                </c:pt>
                <c:pt idx="3">
                  <c:v>10044275492</c:v>
                </c:pt>
                <c:pt idx="4">
                  <c:v>8035488330</c:v>
                </c:pt>
                <c:pt idx="5">
                  <c:v>1239547134</c:v>
                </c:pt>
                <c:pt idx="6">
                  <c:v>2853004685</c:v>
                </c:pt>
                <c:pt idx="7">
                  <c:v>4830619853</c:v>
                </c:pt>
                <c:pt idx="8">
                  <c:v>603786450</c:v>
                </c:pt>
                <c:pt idx="9">
                  <c:v>529705098</c:v>
                </c:pt>
                <c:pt idx="10">
                  <c:v>10640961760</c:v>
                </c:pt>
                <c:pt idx="11">
                  <c:v>9128540869</c:v>
                </c:pt>
                <c:pt idx="12">
                  <c:v>10472996031</c:v>
                </c:pt>
                <c:pt idx="13">
                  <c:v>8333277244</c:v>
                </c:pt>
                <c:pt idx="14">
                  <c:v>1665194758</c:v>
                </c:pt>
                <c:pt idx="15">
                  <c:v>2486469904</c:v>
                </c:pt>
                <c:pt idx="16">
                  <c:v>4643870756</c:v>
                </c:pt>
                <c:pt idx="17">
                  <c:v>544816418</c:v>
                </c:pt>
                <c:pt idx="18">
                  <c:v>553718514</c:v>
                </c:pt>
                <c:pt idx="19">
                  <c:v>8762782394</c:v>
                </c:pt>
                <c:pt idx="20">
                  <c:v>9469475050</c:v>
                </c:pt>
                <c:pt idx="21">
                  <c:v>7031794964</c:v>
                </c:pt>
                <c:pt idx="22">
                  <c:v>1017522400</c:v>
                </c:pt>
                <c:pt idx="23">
                  <c:v>2040891882</c:v>
                </c:pt>
                <c:pt idx="24">
                  <c:v>3426418430</c:v>
                </c:pt>
                <c:pt idx="25">
                  <c:v>4237189799</c:v>
                </c:pt>
                <c:pt idx="26">
                  <c:v>576438256</c:v>
                </c:pt>
                <c:pt idx="27">
                  <c:v>6798105175</c:v>
                </c:pt>
                <c:pt idx="28">
                  <c:v>8859686790</c:v>
                </c:pt>
                <c:pt idx="29">
                  <c:v>9669809376</c:v>
                </c:pt>
                <c:pt idx="30">
                  <c:v>7432740677</c:v>
                </c:pt>
                <c:pt idx="31">
                  <c:v>853692628</c:v>
                </c:pt>
                <c:pt idx="32">
                  <c:v>1827433836</c:v>
                </c:pt>
                <c:pt idx="33">
                  <c:v>3239058461</c:v>
                </c:pt>
                <c:pt idx="34">
                  <c:v>3836791294</c:v>
                </c:pt>
                <c:pt idx="35">
                  <c:v>5460571847</c:v>
                </c:pt>
              </c:numCache>
            </c:numRef>
          </c:val>
        </c:ser>
        <c:ser>
          <c:idx val="3"/>
          <c:order val="3"/>
          <c:tx>
            <c:strRef>
              <c:f>Timestamps!$F$1</c:f>
              <c:strCache>
                <c:ptCount val="1"/>
                <c:pt idx="0">
                  <c:v>waiting t.b. scheduled duration</c:v>
                </c:pt>
              </c:strCache>
            </c:strRef>
          </c:tx>
          <c:spPr>
            <a:solidFill>
              <a:srgbClr val="8064A2"/>
            </a:solidFill>
          </c:spPr>
          <c:cat>
            <c:numRef>
              <c:f>Timestamps!$A$2:$B$37</c:f>
            </c:numRef>
          </c:cat>
          <c:val>
            <c:numRef>
              <c:f>Timestamps!$F$2:$F$37</c:f>
              <c:numCache>
                <c:formatCode>General</c:formatCode>
                <c:ptCount val="36"/>
                <c:pt idx="0">
                  <c:v>454550670</c:v>
                </c:pt>
                <c:pt idx="1">
                  <c:v>2488987915</c:v>
                </c:pt>
                <c:pt idx="2">
                  <c:v>3348421321</c:v>
                </c:pt>
                <c:pt idx="3">
                  <c:v>13373105181</c:v>
                </c:pt>
                <c:pt idx="4">
                  <c:v>21972309135</c:v>
                </c:pt>
                <c:pt idx="5">
                  <c:v>34785131544</c:v>
                </c:pt>
                <c:pt idx="6">
                  <c:v>41153039146</c:v>
                </c:pt>
                <c:pt idx="7">
                  <c:v>47164717179</c:v>
                </c:pt>
                <c:pt idx="8">
                  <c:v>497912914</c:v>
                </c:pt>
                <c:pt idx="9">
                  <c:v>5517435724</c:v>
                </c:pt>
                <c:pt idx="10">
                  <c:v>2774004961</c:v>
                </c:pt>
                <c:pt idx="11">
                  <c:v>11357659635</c:v>
                </c:pt>
                <c:pt idx="12">
                  <c:v>15953618228</c:v>
                </c:pt>
                <c:pt idx="13">
                  <c:v>23757376981</c:v>
                </c:pt>
                <c:pt idx="14">
                  <c:v>36347330936</c:v>
                </c:pt>
                <c:pt idx="15">
                  <c:v>41531297558</c:v>
                </c:pt>
                <c:pt idx="16">
                  <c:v>47367121525</c:v>
                </c:pt>
                <c:pt idx="17">
                  <c:v>556731249</c:v>
                </c:pt>
                <c:pt idx="18">
                  <c:v>6442722291</c:v>
                </c:pt>
                <c:pt idx="19">
                  <c:v>3328101086</c:v>
                </c:pt>
                <c:pt idx="20">
                  <c:v>10577663869</c:v>
                </c:pt>
                <c:pt idx="21">
                  <c:v>20969007934</c:v>
                </c:pt>
                <c:pt idx="22">
                  <c:v>32988601671</c:v>
                </c:pt>
                <c:pt idx="23">
                  <c:v>36970790443</c:v>
                </c:pt>
                <c:pt idx="24">
                  <c:v>42566976216</c:v>
                </c:pt>
                <c:pt idx="25">
                  <c:v>46775457621</c:v>
                </c:pt>
                <c:pt idx="26">
                  <c:v>524791384</c:v>
                </c:pt>
                <c:pt idx="27">
                  <c:v>2160867184</c:v>
                </c:pt>
                <c:pt idx="28">
                  <c:v>8187902422</c:v>
                </c:pt>
                <c:pt idx="29">
                  <c:v>12757119698</c:v>
                </c:pt>
                <c:pt idx="30">
                  <c:v>21562840142</c:v>
                </c:pt>
                <c:pt idx="31">
                  <c:v>33171153358</c:v>
                </c:pt>
                <c:pt idx="32">
                  <c:v>37177312988</c:v>
                </c:pt>
                <c:pt idx="33">
                  <c:v>40773706758</c:v>
                </c:pt>
                <c:pt idx="34">
                  <c:v>47174104893</c:v>
                </c:pt>
                <c:pt idx="35">
                  <c:v>50551143205</c:v>
                </c:pt>
              </c:numCache>
            </c:numRef>
          </c:val>
        </c:ser>
        <c:ser>
          <c:idx val="4"/>
          <c:order val="4"/>
          <c:tx>
            <c:strRef>
              <c:f>Timestamps!$H$1</c:f>
              <c:strCache>
                <c:ptCount val="1"/>
                <c:pt idx="0">
                  <c:v>pod success duration</c:v>
                </c:pt>
              </c:strCache>
            </c:strRef>
          </c:tx>
          <c:spPr>
            <a:solidFill>
              <a:srgbClr val="4BACC6"/>
            </a:solidFill>
          </c:spPr>
          <c:cat>
            <c:numRef>
              <c:f>Timestamps!$A$2:$B$37</c:f>
            </c:numRef>
          </c:cat>
          <c:val>
            <c:numRef>
              <c:f>Timestamps!$H$2:$H$37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5"/>
          <c:order val="5"/>
          <c:tx>
            <c:strRef>
              <c:f>Timestamps!$I$1</c:f>
              <c:strCache>
                <c:ptCount val="1"/>
                <c:pt idx="0">
                  <c:v>pod failure duration</c:v>
                </c:pt>
              </c:strCache>
            </c:strRef>
          </c:tx>
          <c:spPr>
            <a:solidFill>
              <a:srgbClr val="F79646"/>
            </a:solidFill>
          </c:spPr>
          <c:cat>
            <c:numRef>
              <c:f>Timestamps!$A$2:$B$37</c:f>
            </c:numRef>
          </c:cat>
          <c:val>
            <c:numRef>
              <c:f>Timestamps!$I$2:$I$37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Timestamps!$K$1</c:f>
              <c:strCache>
                <c:ptCount val="1"/>
                <c:pt idx="0">
                  <c:v>node waiting for availability</c:v>
                </c:pt>
              </c:strCache>
            </c:strRef>
          </c:tx>
          <c:spPr>
            <a:solidFill>
              <a:srgbClr val="1F497D"/>
            </a:solidFill>
          </c:spPr>
          <c:cat>
            <c:numRef>
              <c:f>Timestamps!$A$2:$B$37</c:f>
            </c:numRef>
          </c:cat>
          <c:val>
            <c:numRef>
              <c:f>Timestamps!$K$2:$K$37</c:f>
              <c:numCache>
                <c:formatCode>General</c:formatCode>
                <c:ptCount val="36"/>
                <c:pt idx="0">
                  <c:v>2491503445.75</c:v>
                </c:pt>
                <c:pt idx="1">
                  <c:v>2491503445.75</c:v>
                </c:pt>
                <c:pt idx="2">
                  <c:v>3491503445.75</c:v>
                </c:pt>
                <c:pt idx="3">
                  <c:v>3491503445.75</c:v>
                </c:pt>
                <c:pt idx="4">
                  <c:v>2491503445.75</c:v>
                </c:pt>
                <c:pt idx="5">
                  <c:v>2491503445.75</c:v>
                </c:pt>
                <c:pt idx="6">
                  <c:v>2491503445.75</c:v>
                </c:pt>
                <c:pt idx="7">
                  <c:v>2777217731.464286</c:v>
                </c:pt>
                <c:pt idx="8">
                  <c:v>2491503445.75</c:v>
                </c:pt>
                <c:pt idx="9">
                  <c:v>2491503445.75</c:v>
                </c:pt>
                <c:pt idx="10">
                  <c:v>3491503445.75</c:v>
                </c:pt>
                <c:pt idx="11">
                  <c:v>3491503445.75</c:v>
                </c:pt>
                <c:pt idx="12">
                  <c:v>2491503445.75</c:v>
                </c:pt>
                <c:pt idx="13">
                  <c:v>2491503445.75</c:v>
                </c:pt>
                <c:pt idx="14">
                  <c:v>3491503445.75</c:v>
                </c:pt>
                <c:pt idx="15">
                  <c:v>3491503445.75</c:v>
                </c:pt>
                <c:pt idx="16">
                  <c:v>2991503445.75</c:v>
                </c:pt>
                <c:pt idx="17">
                  <c:v>3491503445.75</c:v>
                </c:pt>
                <c:pt idx="18">
                  <c:v>2491503445.75</c:v>
                </c:pt>
                <c:pt idx="19">
                  <c:v>2491503445.75</c:v>
                </c:pt>
                <c:pt idx="20">
                  <c:v>2491503445.75</c:v>
                </c:pt>
                <c:pt idx="21">
                  <c:v>2491503445.75</c:v>
                </c:pt>
                <c:pt idx="22">
                  <c:v>2491503445.75</c:v>
                </c:pt>
                <c:pt idx="23">
                  <c:v>3491503445.75</c:v>
                </c:pt>
                <c:pt idx="24">
                  <c:v>2491503445.75</c:v>
                </c:pt>
                <c:pt idx="25">
                  <c:v>2741503445.75</c:v>
                </c:pt>
                <c:pt idx="26">
                  <c:v>2491503445.75</c:v>
                </c:pt>
                <c:pt idx="27">
                  <c:v>2491503445.75</c:v>
                </c:pt>
                <c:pt idx="28">
                  <c:v>3491503445.75</c:v>
                </c:pt>
                <c:pt idx="29">
                  <c:v>3491503445.75</c:v>
                </c:pt>
                <c:pt idx="30">
                  <c:v>2491503445.75</c:v>
                </c:pt>
                <c:pt idx="31">
                  <c:v>2491503445.75</c:v>
                </c:pt>
                <c:pt idx="32">
                  <c:v>2491503445.75</c:v>
                </c:pt>
                <c:pt idx="33">
                  <c:v>3491503445.75</c:v>
                </c:pt>
                <c:pt idx="34">
                  <c:v>3491503445.75</c:v>
                </c:pt>
                <c:pt idx="35">
                  <c:v>2935947890.194445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Node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(nanoseconds)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16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37</xdr:col>
      <xdr:colOff>0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32793840</v>
      </c>
      <c r="D2">
        <v>408077387</v>
      </c>
      <c r="E2">
        <v>570028817</v>
      </c>
      <c r="F2">
        <v>454550670</v>
      </c>
      <c r="G2">
        <v>5000000000</v>
      </c>
      <c r="H2">
        <f>IF(J2="Success", G2, NA())</f>
        <v>0</v>
      </c>
      <c r="I2">
        <f>IF(J2="Failure", G2, NA())</f>
        <v>0</v>
      </c>
      <c r="J2" t="s">
        <v>51</v>
      </c>
      <c r="K2">
        <v>2491503445.75</v>
      </c>
    </row>
    <row r="3" spans="1:11">
      <c r="B3" t="s">
        <v>16</v>
      </c>
      <c r="C3">
        <v>58521115</v>
      </c>
      <c r="D3">
        <v>447887832</v>
      </c>
      <c r="E3">
        <v>6470053852</v>
      </c>
      <c r="F3">
        <v>2488987915</v>
      </c>
      <c r="G3">
        <v>3000000000</v>
      </c>
      <c r="H3">
        <f>IF(J3="Success", G3, NA())</f>
        <v>0</v>
      </c>
      <c r="I3">
        <f>IF(J3="Failure", G3, NA())</f>
        <v>0</v>
      </c>
      <c r="J3" t="s">
        <v>51</v>
      </c>
      <c r="K3">
        <v>2491503445.75</v>
      </c>
    </row>
    <row r="4" spans="1:11">
      <c r="B4" t="s">
        <v>17</v>
      </c>
      <c r="C4">
        <v>13725320</v>
      </c>
      <c r="D4">
        <v>1035475575</v>
      </c>
      <c r="E4">
        <v>11067828498</v>
      </c>
      <c r="F4">
        <v>3348421321</v>
      </c>
      <c r="G4">
        <v>5000000000</v>
      </c>
      <c r="H4">
        <f>IF(J4="Success", G4, NA())</f>
        <v>0</v>
      </c>
      <c r="I4">
        <f>IF(J4="Failure", G4, NA())</f>
        <v>0</v>
      </c>
      <c r="J4" t="s">
        <v>51</v>
      </c>
      <c r="K4">
        <v>3491503445.75</v>
      </c>
    </row>
    <row r="5" spans="1:11">
      <c r="B5" t="s">
        <v>18</v>
      </c>
      <c r="C5">
        <v>71214341</v>
      </c>
      <c r="D5">
        <v>976855700</v>
      </c>
      <c r="E5">
        <v>10044275492</v>
      </c>
      <c r="F5">
        <v>13373105181</v>
      </c>
      <c r="G5">
        <v>2000000000</v>
      </c>
      <c r="H5">
        <f>IF(J5="Success", G5, NA())</f>
        <v>0</v>
      </c>
      <c r="I5">
        <f>IF(J5="Failure", G5, NA())</f>
        <v>0</v>
      </c>
      <c r="J5" t="s">
        <v>51</v>
      </c>
      <c r="K5">
        <v>3491503445.75</v>
      </c>
    </row>
    <row r="6" spans="1:11">
      <c r="B6" t="s">
        <v>19</v>
      </c>
      <c r="C6">
        <v>80093407</v>
      </c>
      <c r="D6">
        <v>377559842</v>
      </c>
      <c r="E6">
        <v>8035488330</v>
      </c>
      <c r="F6">
        <v>21972309135</v>
      </c>
      <c r="G6">
        <v>3000000000</v>
      </c>
      <c r="H6">
        <f>IF(J6="Success", G6, NA())</f>
        <v>0</v>
      </c>
      <c r="I6">
        <f>IF(J6="Failure", G6, NA())</f>
        <v>0</v>
      </c>
      <c r="J6" t="s">
        <v>51</v>
      </c>
      <c r="K6">
        <v>2491503445.75</v>
      </c>
    </row>
    <row r="7" spans="1:11">
      <c r="B7" t="s">
        <v>20</v>
      </c>
      <c r="C7">
        <v>31103898</v>
      </c>
      <c r="D7">
        <v>409668138</v>
      </c>
      <c r="E7">
        <v>1239547134</v>
      </c>
      <c r="F7">
        <v>34785131544</v>
      </c>
      <c r="G7">
        <v>5000000000</v>
      </c>
      <c r="H7">
        <f>IF(J7="Success", G7, NA())</f>
        <v>0</v>
      </c>
      <c r="I7">
        <f>IF(J7="Failure", G7, NA())</f>
        <v>0</v>
      </c>
      <c r="J7" t="s">
        <v>51</v>
      </c>
      <c r="K7">
        <v>2491503445.75</v>
      </c>
    </row>
    <row r="8" spans="1:11">
      <c r="B8" t="s">
        <v>21</v>
      </c>
      <c r="C8">
        <v>70740726</v>
      </c>
      <c r="D8">
        <v>388666157</v>
      </c>
      <c r="E8">
        <v>2853004685</v>
      </c>
      <c r="F8">
        <v>41153039146</v>
      </c>
      <c r="G8">
        <v>5000000000</v>
      </c>
      <c r="H8">
        <f>IF(J8="Success", G8, NA())</f>
        <v>0</v>
      </c>
      <c r="I8">
        <f>IF(J8="Failure", G8, NA())</f>
        <v>0</v>
      </c>
      <c r="J8" t="s">
        <v>51</v>
      </c>
      <c r="K8">
        <v>2491503445.75</v>
      </c>
    </row>
    <row r="9" spans="1:11">
      <c r="B9" t="s">
        <v>22</v>
      </c>
      <c r="C9">
        <v>79954940</v>
      </c>
      <c r="D9">
        <v>390158742</v>
      </c>
      <c r="E9">
        <v>4830619853</v>
      </c>
      <c r="F9">
        <v>47164717179</v>
      </c>
      <c r="G9">
        <v>3000000000</v>
      </c>
      <c r="H9">
        <f>IF(J9="Success", G9, NA())</f>
        <v>0</v>
      </c>
      <c r="I9">
        <f>IF(J9="Failure", G9, NA())</f>
        <v>0</v>
      </c>
      <c r="J9" t="s">
        <v>51</v>
      </c>
      <c r="K9">
        <v>2777217731.464286</v>
      </c>
    </row>
    <row r="10" spans="1:11">
      <c r="A10" t="s">
        <v>12</v>
      </c>
      <c r="B10" t="s">
        <v>23</v>
      </c>
      <c r="C10">
        <v>8663375</v>
      </c>
      <c r="D10">
        <v>355087975</v>
      </c>
      <c r="E10">
        <v>603786450</v>
      </c>
      <c r="F10">
        <v>497912914</v>
      </c>
      <c r="G10">
        <v>2000000000</v>
      </c>
      <c r="H10">
        <f>IF(J10="Success", G10, NA())</f>
        <v>0</v>
      </c>
      <c r="I10">
        <f>IF(J10="Failure", G10, NA())</f>
        <v>0</v>
      </c>
      <c r="J10" t="s">
        <v>51</v>
      </c>
      <c r="K10">
        <v>2491503445.75</v>
      </c>
    </row>
    <row r="11" spans="1:11">
      <c r="B11" t="s">
        <v>24</v>
      </c>
      <c r="C11">
        <v>68700586</v>
      </c>
      <c r="D11">
        <v>349609306</v>
      </c>
      <c r="E11">
        <v>529705098</v>
      </c>
      <c r="F11">
        <v>5517435724</v>
      </c>
      <c r="G11">
        <v>5000000000</v>
      </c>
      <c r="H11">
        <f>IF(J11="Success", G11, NA())</f>
        <v>0</v>
      </c>
      <c r="I11">
        <f>IF(J11="Failure", G11, NA())</f>
        <v>0</v>
      </c>
      <c r="J11" t="s">
        <v>51</v>
      </c>
      <c r="K11">
        <v>2491503445.75</v>
      </c>
    </row>
    <row r="12" spans="1:11">
      <c r="B12" t="s">
        <v>25</v>
      </c>
      <c r="C12">
        <v>60109098</v>
      </c>
      <c r="D12">
        <v>990374895</v>
      </c>
      <c r="E12">
        <v>10640961760</v>
      </c>
      <c r="F12">
        <v>2774004961</v>
      </c>
      <c r="G12">
        <v>3000000000</v>
      </c>
      <c r="H12">
        <f>IF(J12="Success", G12, NA())</f>
        <v>0</v>
      </c>
      <c r="I12">
        <f>IF(J12="Failure", G12, NA())</f>
        <v>0</v>
      </c>
      <c r="J12" t="s">
        <v>51</v>
      </c>
      <c r="K12">
        <v>3491503445.75</v>
      </c>
    </row>
    <row r="13" spans="1:11">
      <c r="B13" t="s">
        <v>26</v>
      </c>
      <c r="C13">
        <v>108195789</v>
      </c>
      <c r="D13">
        <v>871054421</v>
      </c>
      <c r="E13">
        <v>9128540869</v>
      </c>
      <c r="F13">
        <v>11357659635</v>
      </c>
      <c r="G13">
        <v>2000000000</v>
      </c>
      <c r="H13">
        <f>IF(J13="Success", G13, NA())</f>
        <v>0</v>
      </c>
      <c r="I13">
        <f>IF(J13="Failure", G13, NA())</f>
        <v>0</v>
      </c>
      <c r="J13" t="s">
        <v>51</v>
      </c>
      <c r="K13">
        <v>3491503445.75</v>
      </c>
    </row>
    <row r="14" spans="1:11">
      <c r="B14" t="s">
        <v>27</v>
      </c>
      <c r="C14">
        <v>76247475</v>
      </c>
      <c r="D14">
        <v>962588980</v>
      </c>
      <c r="E14">
        <v>10472996031</v>
      </c>
      <c r="F14">
        <v>15953618228</v>
      </c>
      <c r="G14">
        <v>2000000000</v>
      </c>
      <c r="H14">
        <f>IF(J14="Success", G14, NA())</f>
        <v>0</v>
      </c>
      <c r="I14">
        <f>IF(J14="Failure", G14, NA())</f>
        <v>0</v>
      </c>
      <c r="J14" t="s">
        <v>51</v>
      </c>
      <c r="K14">
        <v>2491503445.75</v>
      </c>
    </row>
    <row r="15" spans="1:11">
      <c r="B15" t="s">
        <v>28</v>
      </c>
      <c r="C15">
        <v>67823411</v>
      </c>
      <c r="D15">
        <v>306973078</v>
      </c>
      <c r="E15">
        <v>8333277244</v>
      </c>
      <c r="F15">
        <v>23757376981</v>
      </c>
      <c r="G15">
        <v>3000000000</v>
      </c>
      <c r="H15">
        <f>IF(J15="Success", G15, NA())</f>
        <v>0</v>
      </c>
      <c r="I15">
        <f>IF(J15="Failure", G15, NA())</f>
        <v>0</v>
      </c>
      <c r="J15" t="s">
        <v>51</v>
      </c>
      <c r="K15">
        <v>2491503445.75</v>
      </c>
    </row>
    <row r="16" spans="1:11">
      <c r="B16" t="s">
        <v>29</v>
      </c>
      <c r="C16">
        <v>42885743</v>
      </c>
      <c r="D16">
        <v>410039277</v>
      </c>
      <c r="E16">
        <v>1665194758</v>
      </c>
      <c r="F16">
        <v>36347330936</v>
      </c>
      <c r="G16">
        <v>2000000000</v>
      </c>
      <c r="H16">
        <f>IF(J16="Success", G16, NA())</f>
        <v>0</v>
      </c>
      <c r="I16">
        <f>IF(J16="Failure", G16, NA())</f>
        <v>0</v>
      </c>
      <c r="J16" t="s">
        <v>51</v>
      </c>
      <c r="K16">
        <v>3491503445.75</v>
      </c>
    </row>
    <row r="17" spans="1:11">
      <c r="B17" t="s">
        <v>30</v>
      </c>
      <c r="C17">
        <v>85723640</v>
      </c>
      <c r="D17">
        <v>361959612</v>
      </c>
      <c r="E17">
        <v>2486469904</v>
      </c>
      <c r="F17">
        <v>41531297558</v>
      </c>
      <c r="G17">
        <v>4000000000</v>
      </c>
      <c r="H17">
        <f>IF(J17="Success", G17, NA())</f>
        <v>0</v>
      </c>
      <c r="I17">
        <f>IF(J17="Failure", G17, NA())</f>
        <v>0</v>
      </c>
      <c r="J17" t="s">
        <v>51</v>
      </c>
      <c r="K17">
        <v>3491503445.75</v>
      </c>
    </row>
    <row r="18" spans="1:11">
      <c r="B18" t="s">
        <v>31</v>
      </c>
      <c r="C18">
        <v>13276071</v>
      </c>
      <c r="D18">
        <v>441182362</v>
      </c>
      <c r="E18">
        <v>4643870756</v>
      </c>
      <c r="F18">
        <v>47367121525</v>
      </c>
      <c r="G18">
        <v>5000000000</v>
      </c>
      <c r="H18">
        <f>IF(J18="Success", G18, NA())</f>
        <v>0</v>
      </c>
      <c r="I18">
        <f>IF(J18="Failure", G18, NA())</f>
        <v>0</v>
      </c>
      <c r="J18" t="s">
        <v>51</v>
      </c>
      <c r="K18">
        <v>2991503445.75</v>
      </c>
    </row>
    <row r="19" spans="1:11">
      <c r="A19" t="s">
        <v>13</v>
      </c>
      <c r="B19" t="s">
        <v>32</v>
      </c>
      <c r="C19">
        <v>41757526</v>
      </c>
      <c r="D19">
        <v>322145521</v>
      </c>
      <c r="E19">
        <v>544816418</v>
      </c>
      <c r="F19">
        <v>556731249</v>
      </c>
      <c r="G19">
        <v>2000000000</v>
      </c>
      <c r="H19">
        <f>IF(J19="Success", G19, NA())</f>
        <v>0</v>
      </c>
      <c r="I19">
        <f>IF(J19="Failure", G19, NA())</f>
        <v>0</v>
      </c>
      <c r="J19" t="s">
        <v>51</v>
      </c>
      <c r="K19">
        <v>3491503445.75</v>
      </c>
    </row>
    <row r="20" spans="1:11">
      <c r="B20" t="s">
        <v>33</v>
      </c>
      <c r="C20">
        <v>19313505</v>
      </c>
      <c r="D20">
        <v>449696404</v>
      </c>
      <c r="E20">
        <v>553718514</v>
      </c>
      <c r="F20">
        <v>6442722291</v>
      </c>
      <c r="G20">
        <v>2000000000</v>
      </c>
      <c r="H20">
        <f>IF(J20="Success", G20, NA())</f>
        <v>0</v>
      </c>
      <c r="I20">
        <f>IF(J20="Failure", G20, NA())</f>
        <v>0</v>
      </c>
      <c r="J20" t="s">
        <v>51</v>
      </c>
      <c r="K20">
        <v>2491503445.75</v>
      </c>
    </row>
    <row r="21" spans="1:11">
      <c r="B21" t="s">
        <v>34</v>
      </c>
      <c r="C21">
        <v>44657679</v>
      </c>
      <c r="D21">
        <v>329909555</v>
      </c>
      <c r="E21">
        <v>8762782394</v>
      </c>
      <c r="F21">
        <v>3328101086</v>
      </c>
      <c r="G21">
        <v>5000000000</v>
      </c>
      <c r="H21">
        <f>IF(J21="Success", G21, NA())</f>
        <v>0</v>
      </c>
      <c r="I21">
        <f>IF(J21="Failure", G21, NA())</f>
        <v>0</v>
      </c>
      <c r="J21" t="s">
        <v>51</v>
      </c>
      <c r="K21">
        <v>2491503445.75</v>
      </c>
    </row>
    <row r="22" spans="1:11">
      <c r="B22" t="s">
        <v>35</v>
      </c>
      <c r="C22">
        <v>92399710</v>
      </c>
      <c r="D22">
        <v>325912085</v>
      </c>
      <c r="E22">
        <v>9469475050</v>
      </c>
      <c r="F22">
        <v>10577663869</v>
      </c>
      <c r="G22">
        <v>5000000000</v>
      </c>
      <c r="H22">
        <f>IF(J22="Success", G22, NA())</f>
        <v>0</v>
      </c>
      <c r="I22">
        <f>IF(J22="Failure", G22, NA())</f>
        <v>0</v>
      </c>
      <c r="J22" t="s">
        <v>51</v>
      </c>
      <c r="K22">
        <v>2491503445.75</v>
      </c>
    </row>
    <row r="23" spans="1:11">
      <c r="B23" t="s">
        <v>36</v>
      </c>
      <c r="C23">
        <v>44146819</v>
      </c>
      <c r="D23">
        <v>420500997</v>
      </c>
      <c r="E23">
        <v>7031794964</v>
      </c>
      <c r="F23">
        <v>20969007934</v>
      </c>
      <c r="G23">
        <v>3000000000</v>
      </c>
      <c r="H23">
        <f>IF(J23="Success", G23, NA())</f>
        <v>0</v>
      </c>
      <c r="I23">
        <f>IF(J23="Failure", G23, NA())</f>
        <v>0</v>
      </c>
      <c r="J23" t="s">
        <v>51</v>
      </c>
      <c r="K23">
        <v>2491503445.75</v>
      </c>
    </row>
    <row r="24" spans="1:11">
      <c r="B24" t="s">
        <v>37</v>
      </c>
      <c r="C24">
        <v>15681059</v>
      </c>
      <c r="D24">
        <v>443645584</v>
      </c>
      <c r="E24">
        <v>1017522400</v>
      </c>
      <c r="F24">
        <v>32988601671</v>
      </c>
      <c r="G24">
        <v>2000000000</v>
      </c>
      <c r="H24">
        <f>IF(J24="Success", G24, NA())</f>
        <v>0</v>
      </c>
      <c r="I24">
        <f>IF(J24="Failure", G24, NA())</f>
        <v>0</v>
      </c>
      <c r="J24" t="s">
        <v>51</v>
      </c>
      <c r="K24">
        <v>2491503445.75</v>
      </c>
    </row>
    <row r="25" spans="1:11">
      <c r="B25" t="s">
        <v>38</v>
      </c>
      <c r="C25">
        <v>33347753</v>
      </c>
      <c r="D25">
        <v>420420636</v>
      </c>
      <c r="E25">
        <v>2040891882</v>
      </c>
      <c r="F25">
        <v>36970790443</v>
      </c>
      <c r="G25">
        <v>3000000000</v>
      </c>
      <c r="H25">
        <f>IF(J25="Success", G25, NA())</f>
        <v>0</v>
      </c>
      <c r="I25">
        <f>IF(J25="Failure", G25, NA())</f>
        <v>0</v>
      </c>
      <c r="J25" t="s">
        <v>51</v>
      </c>
      <c r="K25">
        <v>3491503445.75</v>
      </c>
    </row>
    <row r="26" spans="1:11">
      <c r="B26" t="s">
        <v>39</v>
      </c>
      <c r="C26">
        <v>91547674</v>
      </c>
      <c r="D26">
        <v>380508394</v>
      </c>
      <c r="E26">
        <v>3426418430</v>
      </c>
      <c r="F26">
        <v>42566976216</v>
      </c>
      <c r="G26">
        <v>2000000000</v>
      </c>
      <c r="H26">
        <f>IF(J26="Success", G26, NA())</f>
        <v>0</v>
      </c>
      <c r="I26">
        <f>IF(J26="Failure", G26, NA())</f>
        <v>0</v>
      </c>
      <c r="J26" t="s">
        <v>51</v>
      </c>
      <c r="K26">
        <v>2491503445.75</v>
      </c>
    </row>
    <row r="27" spans="1:11">
      <c r="B27" t="s">
        <v>40</v>
      </c>
      <c r="C27">
        <v>29814899</v>
      </c>
      <c r="D27">
        <v>422988395</v>
      </c>
      <c r="E27">
        <v>4237189799</v>
      </c>
      <c r="F27">
        <v>46775457621</v>
      </c>
      <c r="G27">
        <v>5000000000</v>
      </c>
      <c r="H27">
        <f>IF(J27="Success", G27, NA())</f>
        <v>0</v>
      </c>
      <c r="I27">
        <f>IF(J27="Failure", G27, NA())</f>
        <v>0</v>
      </c>
      <c r="J27" t="s">
        <v>51</v>
      </c>
      <c r="K27">
        <v>2741503445.75</v>
      </c>
    </row>
    <row r="28" spans="1:11">
      <c r="A28" t="s">
        <v>14</v>
      </c>
      <c r="B28" t="s">
        <v>41</v>
      </c>
      <c r="C28">
        <v>39682412</v>
      </c>
      <c r="D28">
        <v>324538662</v>
      </c>
      <c r="E28">
        <v>576438256</v>
      </c>
      <c r="F28">
        <v>524791384</v>
      </c>
      <c r="G28">
        <v>5000000000</v>
      </c>
      <c r="H28">
        <f>IF(J28="Success", G28, NA())</f>
        <v>0</v>
      </c>
      <c r="I28">
        <f>IF(J28="Failure", G28, NA())</f>
        <v>0</v>
      </c>
      <c r="J28" t="s">
        <v>51</v>
      </c>
      <c r="K28">
        <v>2491503445.75</v>
      </c>
    </row>
    <row r="29" spans="1:11">
      <c r="B29" t="s">
        <v>42</v>
      </c>
      <c r="C29">
        <v>83216944</v>
      </c>
      <c r="D29">
        <v>423261411</v>
      </c>
      <c r="E29">
        <v>6798105175</v>
      </c>
      <c r="F29">
        <v>2160867184</v>
      </c>
      <c r="G29">
        <v>5000000000</v>
      </c>
      <c r="H29">
        <f>IF(J29="Success", G29, NA())</f>
        <v>0</v>
      </c>
      <c r="I29">
        <f>IF(J29="Failure", G29, NA())</f>
        <v>0</v>
      </c>
      <c r="J29" t="s">
        <v>51</v>
      </c>
      <c r="K29">
        <v>2491503445.75</v>
      </c>
    </row>
    <row r="30" spans="1:11">
      <c r="B30" t="s">
        <v>43</v>
      </c>
      <c r="C30">
        <v>45729152</v>
      </c>
      <c r="D30">
        <v>372132350</v>
      </c>
      <c r="E30">
        <v>8859686790</v>
      </c>
      <c r="F30">
        <v>8187902422</v>
      </c>
      <c r="G30">
        <v>2000000000</v>
      </c>
      <c r="H30">
        <f>IF(J30="Success", G30, NA())</f>
        <v>0</v>
      </c>
      <c r="I30">
        <f>IF(J30="Failure", G30, NA())</f>
        <v>0</v>
      </c>
      <c r="J30" t="s">
        <v>51</v>
      </c>
      <c r="K30">
        <v>3491503445.75</v>
      </c>
    </row>
    <row r="31" spans="1:11">
      <c r="B31" t="s">
        <v>44</v>
      </c>
      <c r="C31">
        <v>104985791</v>
      </c>
      <c r="D31">
        <v>933535849</v>
      </c>
      <c r="E31">
        <v>9669809376</v>
      </c>
      <c r="F31">
        <v>12757119698</v>
      </c>
      <c r="G31">
        <v>2000000000</v>
      </c>
      <c r="H31">
        <f>IF(J31="Success", G31, NA())</f>
        <v>0</v>
      </c>
      <c r="I31">
        <f>IF(J31="Failure", G31, NA())</f>
        <v>0</v>
      </c>
      <c r="J31" t="s">
        <v>51</v>
      </c>
      <c r="K31">
        <v>3491503445.75</v>
      </c>
    </row>
    <row r="32" spans="1:11">
      <c r="B32" t="s">
        <v>45</v>
      </c>
      <c r="C32">
        <v>24002942</v>
      </c>
      <c r="D32">
        <v>445866953</v>
      </c>
      <c r="E32">
        <v>7432740677</v>
      </c>
      <c r="F32">
        <v>21562840142</v>
      </c>
      <c r="G32">
        <v>2000000000</v>
      </c>
      <c r="H32">
        <f>IF(J32="Success", G32, NA())</f>
        <v>0</v>
      </c>
      <c r="I32">
        <f>IF(J32="Failure", G32, NA())</f>
        <v>0</v>
      </c>
      <c r="J32" t="s">
        <v>51</v>
      </c>
      <c r="K32">
        <v>2491503445.75</v>
      </c>
    </row>
    <row r="33" spans="2:11">
      <c r="B33" t="s">
        <v>46</v>
      </c>
      <c r="C33">
        <v>0</v>
      </c>
      <c r="D33">
        <v>440604728</v>
      </c>
      <c r="E33">
        <v>853692628</v>
      </c>
      <c r="F33">
        <v>33171153358</v>
      </c>
      <c r="G33">
        <v>2000000000</v>
      </c>
      <c r="H33">
        <f>IF(J33="Success", G33, NA())</f>
        <v>0</v>
      </c>
      <c r="I33">
        <f>IF(J33="Failure", G33, NA())</f>
        <v>0</v>
      </c>
      <c r="J33" t="s">
        <v>51</v>
      </c>
      <c r="K33">
        <v>2491503445.75</v>
      </c>
    </row>
    <row r="34" spans="2:11">
      <c r="B34" t="s">
        <v>47</v>
      </c>
      <c r="C34">
        <v>59652866</v>
      </c>
      <c r="D34">
        <v>401051024</v>
      </c>
      <c r="E34">
        <v>1827433836</v>
      </c>
      <c r="F34">
        <v>37177312988</v>
      </c>
      <c r="G34">
        <v>2000000000</v>
      </c>
      <c r="H34">
        <f>IF(J34="Success", G34, NA())</f>
        <v>0</v>
      </c>
      <c r="I34">
        <f>IF(J34="Failure", G34, NA())</f>
        <v>0</v>
      </c>
      <c r="J34" t="s">
        <v>51</v>
      </c>
      <c r="K34">
        <v>2491503445.75</v>
      </c>
    </row>
    <row r="35" spans="2:11">
      <c r="B35" t="s">
        <v>48</v>
      </c>
      <c r="C35">
        <v>80973238</v>
      </c>
      <c r="D35">
        <v>371712257</v>
      </c>
      <c r="E35">
        <v>3239058461</v>
      </c>
      <c r="F35">
        <v>40773706758</v>
      </c>
      <c r="G35">
        <v>3000000000</v>
      </c>
      <c r="H35">
        <f>IF(J35="Success", G35, NA())</f>
        <v>0</v>
      </c>
      <c r="I35">
        <f>IF(J35="Failure", G35, NA())</f>
        <v>0</v>
      </c>
      <c r="J35" t="s">
        <v>51</v>
      </c>
      <c r="K35">
        <v>3491503445.75</v>
      </c>
    </row>
    <row r="36" spans="2:11">
      <c r="B36" t="s">
        <v>49</v>
      </c>
      <c r="C36">
        <v>59042041</v>
      </c>
      <c r="D36">
        <v>395512486</v>
      </c>
      <c r="E36">
        <v>3836791294</v>
      </c>
      <c r="F36">
        <v>47174104893</v>
      </c>
      <c r="G36">
        <v>1000000000</v>
      </c>
      <c r="H36">
        <f>IF(J36="Success", G36, NA())</f>
        <v>0</v>
      </c>
      <c r="I36">
        <f>IF(J36="Failure", G36, NA())</f>
        <v>0</v>
      </c>
      <c r="J36" t="s">
        <v>51</v>
      </c>
      <c r="K36">
        <v>3491503445.75</v>
      </c>
    </row>
    <row r="37" spans="2:11">
      <c r="B37" t="s">
        <v>50</v>
      </c>
      <c r="C37">
        <v>75971388</v>
      </c>
      <c r="D37">
        <v>377764274</v>
      </c>
      <c r="E37">
        <v>5460571847</v>
      </c>
      <c r="F37">
        <v>50551143205</v>
      </c>
      <c r="G37">
        <v>3000000000</v>
      </c>
      <c r="H37">
        <f>IF(J37="Success", G37, NA())</f>
        <v>0</v>
      </c>
      <c r="I37">
        <f>IF(J37="Failure", G37, NA())</f>
        <v>0</v>
      </c>
      <c r="J37" t="s">
        <v>51</v>
      </c>
      <c r="K37">
        <v>2935947890.194445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2026-05-31T00:27:53Z</dcterms:created>
  <dcterms:modified xsi:type="dcterms:W3CDTF">2026-05-31T00:27:53Z</dcterms:modified>
</cp:coreProperties>
</file>